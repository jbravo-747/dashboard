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nálisis" sheetId="1" state="visible" r:id="rId1"/>
    <sheet xmlns:r="http://schemas.openxmlformats.org/officeDocument/2006/relationships" name="Reporte semanal 2026" sheetId="2" state="visible" r:id="rId2"/>
    <sheet xmlns:r="http://schemas.openxmlformats.org/officeDocument/2006/relationships" name="Nuevo reporte" sheetId="3" state="visible" r:id="rId3"/>
    <sheet xmlns:r="http://schemas.openxmlformats.org/officeDocument/2006/relationships" name="Reporte mensual 2026" sheetId="4" state="visible" r:id="rId4"/>
    <sheet xmlns:r="http://schemas.openxmlformats.org/officeDocument/2006/relationships" name="KPIs" sheetId="5" state="visible" r:id="rId5"/>
    <sheet xmlns:r="http://schemas.openxmlformats.org/officeDocument/2006/relationships" name="Otros Think Tanks" sheetId="6" state="visible" r:id="rId6"/>
    <sheet xmlns:r="http://schemas.openxmlformats.org/officeDocument/2006/relationships" name="Seguimiento seguidores" sheetId="7" state="visible" r:id="rId7"/>
    <sheet xmlns:r="http://schemas.openxmlformats.org/officeDocument/2006/relationships" name="Seguimiento alc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mmm-yyyy"/>
    <numFmt numFmtId="167" formatCode="mmmm-yyyy"/>
  </numFmts>
  <fonts count="31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>
      <name val="Arial"/>
      <b val="1"/>
      <color rgb="FF0000FF"/>
      <u val="single"/>
    </font>
    <font>
      <name val="Arial"/>
      <b val="1"/>
      <color rgb="FFFFFFFF"/>
    </font>
    <font>
      <name val="Arial"/>
      <color rgb="FF000000"/>
      <sz val="12"/>
    </font>
    <font>
      <name val="-apple-system"/>
      <color rgb="FF000000"/>
      <sz val="15"/>
    </font>
    <font>
      <name val="Arial"/>
      <color theme="1"/>
      <scheme val="minor"/>
    </font>
    <font>
      <name val="Calibri"/>
      <color rgb="FF000000"/>
      <sz val="11"/>
    </font>
    <font>
      <name val="Verdana"/>
      <color rgb="FF34A853"/>
      <sz val="11"/>
    </font>
    <font>
      <name val="Verdana"/>
      <b val="1"/>
      <color rgb="FF34A853"/>
      <sz val="11"/>
    </font>
    <font>
      <name val="Verdana"/>
      <b val="1"/>
      <color rgb="FFEA4335"/>
      <sz val="11"/>
    </font>
    <font/>
    <font>
      <name val="Verdana"/>
      <color rgb="FFEA4335"/>
      <sz val="11"/>
    </font>
    <font>
      <name val="Arial"/>
      <b val="1"/>
      <color theme="1"/>
      <scheme val="minor"/>
    </font>
    <font>
      <name val="Verdana"/>
      <color rgb="FF34A853"/>
      <sz val="7"/>
    </font>
    <font>
      <name val="Verdana"/>
      <color rgb="FF34A853"/>
      <sz val="6"/>
    </font>
    <font>
      <name val="Arial"/>
      <color rgb="FFFF0000"/>
    </font>
    <font>
      <name val="Arial"/>
      <color rgb="FF000000"/>
    </font>
    <font>
      <name val="Arial"/>
      <b val="1"/>
      <color rgb="FFFFFFFF"/>
      <scheme val="minor"/>
    </font>
    <font>
      <name val="Arial"/>
      <color rgb="FF000000"/>
      <sz val="9"/>
    </font>
    <font>
      <name val="Arial"/>
      <color rgb="FF000000"/>
      <sz val="10"/>
    </font>
    <font>
      <name val="Roboto"/>
      <color rgb="FF0D0D0D"/>
    </font>
    <font>
      <name val="Roboto"/>
      <color rgb="FF000000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C4587"/>
      <sz val="10"/>
    </font>
    <font>
      <name val="Arial"/>
      <b val="1"/>
      <color rgb="0038761D"/>
      <sz val="10"/>
    </font>
    <font>
      <name val="Arial"/>
      <b val="1"/>
      <color rgb="00CC0000"/>
      <sz val="10"/>
    </font>
  </fonts>
  <fills count="25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4A86E8"/>
        <bgColor rgb="FF4A86E8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134F5C"/>
        <bgColor rgb="FF134F5C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45818E"/>
        <bgColor rgb="FF45818E"/>
      </patternFill>
    </fill>
    <fill>
      <patternFill patternType="solid">
        <fgColor rgb="001C4587"/>
      </patternFill>
    </fill>
    <fill>
      <patternFill patternType="solid">
        <fgColor rgb="004A86E8"/>
      </patternFill>
    </fill>
    <fill>
      <patternFill patternType="solid">
        <fgColor rgb="00EFEFEF"/>
      </patternFill>
    </fill>
    <fill>
      <patternFill patternType="solid">
        <fgColor rgb="00C9DAF8"/>
      </patternFill>
    </fill>
    <fill>
      <patternFill patternType="solid">
        <fgColor rgb="00FFF2CC"/>
      </patternFill>
    </fill>
  </fills>
  <borders count="25">
    <border/>
    <border>
      <left style="thin">
        <color rgb="FF073763"/>
      </left>
    </border>
    <border>
      <left style="thin">
        <color rgb="FF4285F4"/>
      </left>
      <top style="thin">
        <color rgb="FF4285F4"/>
      </top>
    </border>
    <border>
      <right style="thin">
        <color rgb="FF4285F4"/>
      </right>
      <top style="thin">
        <color rgb="FF4285F4"/>
      </top>
    </border>
    <border>
      <right style="thin">
        <color rgb="FF073763"/>
      </right>
    </border>
    <border>
      <bottom style="thin">
        <color rgb="FF073763"/>
      </bottom>
    </border>
    <border>
      <left style="thin">
        <color rgb="FF073763"/>
      </left>
      <bottom style="thin">
        <color rgb="FF073763"/>
      </bottom>
    </border>
    <border>
      <right style="thin">
        <color rgb="FF073763"/>
      </right>
      <bottom style="thin">
        <color rgb="FF073763"/>
      </bottom>
    </border>
    <border>
      <left style="thin">
        <color rgb="FF4285F4"/>
      </left>
      <top style="thin">
        <color rgb="FF4285F4"/>
      </top>
      <bottom style="thin">
        <color rgb="FF073763"/>
      </bottom>
    </border>
    <border>
      <right style="thin">
        <color rgb="FF4285F4"/>
      </right>
      <top style="thin">
        <color rgb="FF4285F4"/>
      </top>
      <bottom style="thin">
        <color rgb="FF073763"/>
      </bottom>
    </border>
    <border>
      <left style="thin">
        <color rgb="FF134F5C"/>
      </left>
      <right style="thin">
        <color rgb="FF134F5C"/>
      </right>
      <top style="thin">
        <color rgb="FF134F5C"/>
      </top>
      <bottom style="thin">
        <color rgb="FF134F5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134F5C"/>
      </top>
      <bottom style="thin">
        <color rgb="FF134F5C"/>
      </bottom>
    </border>
    <border>
      <right style="thin">
        <color rgb="FF134F5C"/>
      </right>
      <top style="thin">
        <color rgb="FF134F5C"/>
      </top>
      <bottom style="thin">
        <color rgb="FF134F5C"/>
      </bottom>
    </border>
    <border>
      <left style="thin">
        <color rgb="FF134F5C"/>
      </left>
      <top style="thin">
        <color rgb="FF134F5C"/>
      </top>
      <bottom style="thin">
        <color rgb="FF134F5C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073763"/>
      </bottom>
    </border>
    <border>
      <top style="thin">
        <color rgb="FF4285F4"/>
      </top>
    </border>
    <border>
      <left style="thin">
        <color rgb="FF4285F4"/>
      </left>
      <right style="thin">
        <color rgb="FF4285F4"/>
      </right>
      <top style="thin">
        <color rgb="FF4285F4"/>
      </top>
    </border>
    <border>
      <left style="thin">
        <color rgb="FF073763"/>
      </left>
      <right style="thin">
        <color rgb="FF073763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3" fillId="2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right" vertical="bottom"/>
    </xf>
    <xf numFmtId="0" fontId="1" fillId="2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vertical="bottom"/>
    </xf>
    <xf numFmtId="3" fontId="1" fillId="0" borderId="0" applyAlignment="1" pivotButton="0" quotePrefix="0" xfId="0">
      <alignment horizontal="right" vertical="bottom"/>
    </xf>
    <xf numFmtId="3" fontId="2" fillId="4" borderId="1" applyAlignment="1" pivotButton="0" quotePrefix="0" xfId="0">
      <alignment horizontal="right" vertical="bottom"/>
    </xf>
    <xf numFmtId="3" fontId="2" fillId="5" borderId="1" applyAlignment="1" pivotButton="0" quotePrefix="0" xfId="0">
      <alignment horizontal="right" vertical="bottom"/>
    </xf>
    <xf numFmtId="3" fontId="2" fillId="0" borderId="1" applyAlignment="1" pivotButton="0" quotePrefix="0" xfId="0">
      <alignment horizontal="right" vertical="bottom"/>
    </xf>
    <xf numFmtId="0" fontId="2" fillId="6" borderId="0" applyAlignment="1" pivotButton="0" quotePrefix="0" xfId="0">
      <alignment vertical="bottom"/>
    </xf>
    <xf numFmtId="10" fontId="2" fillId="0" borderId="0" applyAlignment="1" pivotButton="0" quotePrefix="0" xfId="0">
      <alignment horizontal="right" vertical="bottom"/>
    </xf>
    <xf numFmtId="10" fontId="2" fillId="7" borderId="1" applyAlignment="1" pivotButton="0" quotePrefix="0" xfId="0">
      <alignment horizontal="right" vertical="bottom"/>
    </xf>
    <xf numFmtId="164" fontId="1" fillId="6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horizontal="right" vertical="bottom"/>
    </xf>
    <xf numFmtId="3" fontId="1" fillId="8" borderId="0" applyAlignment="1" pivotButton="0" quotePrefix="0" xfId="0">
      <alignment horizontal="right" vertical="bottom"/>
    </xf>
    <xf numFmtId="3" fontId="1" fillId="8" borderId="0" applyAlignment="1" pivotButton="0" quotePrefix="0" xfId="0">
      <alignment horizontal="right" vertical="bottom"/>
    </xf>
    <xf numFmtId="3" fontId="2" fillId="8" borderId="1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10" fontId="2" fillId="0" borderId="1" applyAlignment="1" pivotButton="0" quotePrefix="0" xfId="0">
      <alignment horizontal="right" vertical="bottom"/>
    </xf>
    <xf numFmtId="0" fontId="4" fillId="2" borderId="0" applyAlignment="1" pivotButton="0" quotePrefix="0" xfId="0">
      <alignment vertical="bottom"/>
    </xf>
    <xf numFmtId="3" fontId="5" fillId="6" borderId="0" pivotButton="0" quotePrefix="0" xfId="0"/>
    <xf numFmtId="3" fontId="1" fillId="5" borderId="1" applyAlignment="1" pivotButton="0" quotePrefix="0" xfId="0">
      <alignment horizontal="right" vertical="bottom"/>
    </xf>
    <xf numFmtId="0" fontId="1" fillId="8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6" fillId="6" borderId="0" applyAlignment="1" pivotButton="0" quotePrefix="0" xfId="0">
      <alignment vertical="center"/>
    </xf>
    <xf numFmtId="3" fontId="1" fillId="0" borderId="0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0" fontId="7" fillId="0" borderId="0" pivotButton="0" quotePrefix="0" xfId="0"/>
    <xf numFmtId="165" fontId="2" fillId="7" borderId="1" applyAlignment="1" pivotButton="0" quotePrefix="0" xfId="0">
      <alignment horizontal="right" vertical="bottom"/>
    </xf>
    <xf numFmtId="0" fontId="1" fillId="6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bottom"/>
    </xf>
    <xf numFmtId="0" fontId="1" fillId="9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4" fillId="2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right" vertical="bottom"/>
    </xf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wrapText="1"/>
    </xf>
    <xf numFmtId="0" fontId="9" fillId="6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10" fillId="6" borderId="0" applyAlignment="1" pivotButton="0" quotePrefix="0" xfId="0">
      <alignment horizontal="center" vertical="bottom"/>
    </xf>
    <xf numFmtId="0" fontId="11" fillId="6" borderId="0" applyAlignment="1" pivotButton="0" quotePrefix="0" xfId="0">
      <alignment horizontal="center" vertical="bottom"/>
    </xf>
    <xf numFmtId="0" fontId="1" fillId="2" borderId="0" pivotButton="0" quotePrefix="0" xfId="0"/>
    <xf numFmtId="0" fontId="4" fillId="2" borderId="0" applyAlignment="1" pivotButton="0" quotePrefix="0" xfId="0">
      <alignment horizontal="center" wrapText="1"/>
    </xf>
    <xf numFmtId="0" fontId="4" fillId="2" borderId="2" applyAlignment="1" pivotButton="0" quotePrefix="0" xfId="0">
      <alignment horizontal="center" wrapText="1"/>
    </xf>
    <xf numFmtId="0" fontId="12" fillId="0" borderId="3" pivotButton="0" quotePrefix="0" xfId="0"/>
    <xf numFmtId="0" fontId="2" fillId="4" borderId="1" applyAlignment="1" pivotButton="0" quotePrefix="0" xfId="0">
      <alignment horizontal="center" vertical="bottom"/>
    </xf>
    <xf numFmtId="0" fontId="12" fillId="0" borderId="4" pivotButton="0" quotePrefix="0" xfId="0"/>
    <xf numFmtId="0" fontId="2" fillId="5" borderId="0" applyAlignment="1" pivotButton="0" quotePrefix="0" xfId="0">
      <alignment horizontal="center" vertical="bottom"/>
    </xf>
    <xf numFmtId="0" fontId="2" fillId="7" borderId="0" applyAlignment="1" pivotButton="0" quotePrefix="0" xfId="0">
      <alignment horizontal="center" vertical="bottom"/>
    </xf>
    <xf numFmtId="0" fontId="1" fillId="2" borderId="5" applyAlignment="1" pivotButton="0" quotePrefix="0" xfId="0">
      <alignment vertical="bottom"/>
    </xf>
    <xf numFmtId="0" fontId="4" fillId="2" borderId="6" applyAlignment="1" pivotButton="0" quotePrefix="0" xfId="0">
      <alignment horizontal="center" vertical="bottom" wrapText="1"/>
    </xf>
    <xf numFmtId="0" fontId="4" fillId="2" borderId="5" applyAlignment="1" pivotButton="0" quotePrefix="0" xfId="0">
      <alignment horizontal="center" vertical="bottom" wrapText="1"/>
    </xf>
    <xf numFmtId="0" fontId="4" fillId="2" borderId="7" applyAlignment="1" pivotButton="0" quotePrefix="0" xfId="0">
      <alignment horizontal="center" vertical="bottom" wrapText="1"/>
    </xf>
    <xf numFmtId="0" fontId="13" fillId="6" borderId="0" applyAlignment="1" pivotButton="0" quotePrefix="0" xfId="0">
      <alignment vertical="bottom"/>
    </xf>
    <xf numFmtId="3" fontId="14" fillId="0" borderId="1" pivotButton="0" quotePrefix="0" xfId="0"/>
    <xf numFmtId="3" fontId="1" fillId="0" borderId="4" applyAlignment="1" pivotButton="0" quotePrefix="0" xfId="0">
      <alignment horizontal="right" vertical="bottom"/>
    </xf>
    <xf numFmtId="3" fontId="14" fillId="0" borderId="0" pivotButton="0" quotePrefix="0" xfId="0"/>
    <xf numFmtId="10" fontId="14" fillId="0" borderId="0" pivotButton="0" quotePrefix="0" xfId="0"/>
    <xf numFmtId="10" fontId="2" fillId="0" borderId="0" applyAlignment="1" pivotButton="0" quotePrefix="0" xfId="0">
      <alignment horizontal="right" vertical="bottom"/>
    </xf>
    <xf numFmtId="165" fontId="14" fillId="0" borderId="0" pivotButton="0" quotePrefix="0" xfId="0"/>
    <xf numFmtId="165" fontId="1" fillId="0" borderId="0" applyAlignment="1" pivotButton="0" quotePrefix="0" xfId="0">
      <alignment horizontal="right" vertical="bottom"/>
    </xf>
    <xf numFmtId="0" fontId="14" fillId="0" borderId="0" pivotButton="0" quotePrefix="0" xfId="0"/>
    <xf numFmtId="0" fontId="1" fillId="2" borderId="5" pivotButton="0" quotePrefix="0" xfId="0"/>
    <xf numFmtId="0" fontId="4" fillId="2" borderId="5" applyAlignment="1" pivotButton="0" quotePrefix="0" xfId="0">
      <alignment horizontal="center" wrapText="1"/>
    </xf>
    <xf numFmtId="0" fontId="4" fillId="2" borderId="8" applyAlignment="1" pivotButton="0" quotePrefix="0" xfId="0">
      <alignment horizontal="center" wrapText="1"/>
    </xf>
    <xf numFmtId="0" fontId="12" fillId="0" borderId="9" pivotButton="0" quotePrefix="0" xfId="0"/>
    <xf numFmtId="0" fontId="2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vertical="center"/>
    </xf>
    <xf numFmtId="10" fontId="2" fillId="0" borderId="0" applyAlignment="1" pivotButton="0" quotePrefix="0" xfId="0">
      <alignment horizontal="right" vertical="center"/>
    </xf>
    <xf numFmtId="3" fontId="15" fillId="6" borderId="0" applyAlignment="1" pivotButton="0" quotePrefix="0" xfId="0">
      <alignment horizontal="center" vertical="bottom"/>
    </xf>
    <xf numFmtId="10" fontId="16" fillId="6" borderId="0" applyAlignment="1" pivotButton="0" quotePrefix="0" xfId="0">
      <alignment vertical="bottom"/>
    </xf>
    <xf numFmtId="0" fontId="13" fillId="6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4" fillId="0" borderId="0" pivotButton="0" quotePrefix="0" xfId="0"/>
    <xf numFmtId="3" fontId="7" fillId="0" borderId="0" pivotButton="0" quotePrefix="0" xfId="0"/>
    <xf numFmtId="0" fontId="1" fillId="0" borderId="0" applyAlignment="1" pivotButton="0" quotePrefix="0" xfId="0">
      <alignment vertical="bottom" wrapText="1"/>
    </xf>
    <xf numFmtId="0" fontId="17" fillId="6" borderId="0" pivotButton="0" quotePrefix="0" xfId="0"/>
    <xf numFmtId="0" fontId="17" fillId="0" borderId="0" applyAlignment="1" pivotButton="0" quotePrefix="0" xfId="0">
      <alignment vertical="bottom"/>
    </xf>
    <xf numFmtId="0" fontId="18" fillId="6" borderId="0" pivotButton="0" quotePrefix="0" xfId="0"/>
    <xf numFmtId="0" fontId="7" fillId="0" borderId="0" pivotButton="0" quotePrefix="0" xfId="0"/>
    <xf numFmtId="0" fontId="19" fillId="10" borderId="0" applyAlignment="1" pivotButton="0" quotePrefix="0" xfId="0">
      <alignment horizontal="center"/>
    </xf>
    <xf numFmtId="0" fontId="19" fillId="10" borderId="0" applyAlignment="1" pivotButton="0" quotePrefix="0" xfId="0">
      <alignment horizontal="right"/>
    </xf>
    <xf numFmtId="0" fontId="19" fillId="11" borderId="0" applyAlignment="1" pivotButton="0" quotePrefix="0" xfId="0">
      <alignment horizontal="center"/>
    </xf>
    <xf numFmtId="0" fontId="19" fillId="12" borderId="0" applyAlignment="1" pivotButton="0" quotePrefix="0" xfId="0">
      <alignment horizontal="center"/>
    </xf>
    <xf numFmtId="0" fontId="14" fillId="13" borderId="0" pivotButton="0" quotePrefix="0" xfId="0"/>
    <xf numFmtId="3" fontId="7" fillId="6" borderId="10" applyAlignment="1" pivotButton="0" quotePrefix="0" xfId="0">
      <alignment horizontal="center"/>
    </xf>
    <xf numFmtId="3" fontId="7" fillId="11" borderId="10" applyAlignment="1" pivotButton="0" quotePrefix="0" xfId="0">
      <alignment horizontal="center"/>
    </xf>
    <xf numFmtId="0" fontId="7" fillId="6" borderId="10" applyAlignment="1" pivotButton="0" quotePrefix="0" xfId="0">
      <alignment horizontal="center"/>
    </xf>
    <xf numFmtId="3" fontId="7" fillId="12" borderId="10" applyAlignment="1" pivotButton="0" quotePrefix="0" xfId="0">
      <alignment horizontal="center"/>
    </xf>
    <xf numFmtId="3" fontId="7" fillId="0" borderId="10" applyAlignment="1" pivotButton="0" quotePrefix="0" xfId="0">
      <alignment horizontal="center"/>
    </xf>
    <xf numFmtId="0" fontId="7" fillId="11" borderId="10" applyAlignment="1" pivotButton="0" quotePrefix="0" xfId="0">
      <alignment horizontal="center"/>
    </xf>
    <xf numFmtId="0" fontId="7" fillId="6" borderId="1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7" fillId="12" borderId="0" pivotButton="0" quotePrefix="0" xfId="0"/>
    <xf numFmtId="3" fontId="1" fillId="0" borderId="11" applyAlignment="1" pivotButton="0" quotePrefix="0" xfId="0">
      <alignment vertical="bottom"/>
    </xf>
    <xf numFmtId="0" fontId="2" fillId="14" borderId="11" applyAlignment="1" pivotButton="0" quotePrefix="0" xfId="0">
      <alignment horizontal="center" vertical="bottom"/>
    </xf>
    <xf numFmtId="0" fontId="2" fillId="15" borderId="11" applyAlignment="1" pivotButton="0" quotePrefix="0" xfId="0">
      <alignment horizontal="center" vertical="bottom"/>
    </xf>
    <xf numFmtId="0" fontId="14" fillId="14" borderId="11" applyAlignment="1" pivotButton="0" quotePrefix="0" xfId="0">
      <alignment horizontal="center"/>
    </xf>
    <xf numFmtId="0" fontId="14" fillId="15" borderId="11" applyAlignment="1" pivotButton="0" quotePrefix="0" xfId="0">
      <alignment horizontal="center"/>
    </xf>
    <xf numFmtId="0" fontId="14" fillId="15" borderId="0" applyAlignment="1" pivotButton="0" quotePrefix="0" xfId="0">
      <alignment horizontal="center"/>
    </xf>
    <xf numFmtId="0" fontId="14" fillId="0" borderId="11" pivotButton="0" quotePrefix="0" xfId="0"/>
    <xf numFmtId="0" fontId="2" fillId="16" borderId="12" applyAlignment="1" pivotButton="0" quotePrefix="0" xfId="0">
      <alignment horizontal="center" vertical="bottom"/>
    </xf>
    <xf numFmtId="0" fontId="12" fillId="0" borderId="13" pivotButton="0" quotePrefix="0" xfId="0"/>
    <xf numFmtId="0" fontId="12" fillId="0" borderId="14" pivotButton="0" quotePrefix="0" xfId="0"/>
    <xf numFmtId="0" fontId="2" fillId="7" borderId="11" applyAlignment="1" pivotButton="0" quotePrefix="0" xfId="0">
      <alignment vertical="bottom"/>
    </xf>
    <xf numFmtId="3" fontId="7" fillId="0" borderId="11" pivotButton="0" quotePrefix="0" xfId="0"/>
    <xf numFmtId="3" fontId="7" fillId="15" borderId="11" pivotButton="0" quotePrefix="0" xfId="0"/>
    <xf numFmtId="0" fontId="7" fillId="0" borderId="11" pivotButton="0" quotePrefix="0" xfId="0"/>
    <xf numFmtId="0" fontId="7" fillId="15" borderId="11" pivotButton="0" quotePrefix="0" xfId="0"/>
    <xf numFmtId="3" fontId="2" fillId="7" borderId="11" applyAlignment="1" pivotButton="0" quotePrefix="0" xfId="0">
      <alignment vertical="bottom"/>
    </xf>
    <xf numFmtId="3" fontId="2" fillId="7" borderId="11" applyAlignment="1" pivotButton="0" quotePrefix="0" xfId="0">
      <alignment vertical="bottom"/>
    </xf>
    <xf numFmtId="0" fontId="2" fillId="7" borderId="11" applyAlignment="1" pivotButton="0" quotePrefix="0" xfId="0">
      <alignment vertical="bottom"/>
    </xf>
    <xf numFmtId="0" fontId="7" fillId="0" borderId="11" pivotButton="0" quotePrefix="0" xfId="0"/>
    <xf numFmtId="0" fontId="7" fillId="15" borderId="0" pivotButton="0" quotePrefix="0" xfId="0"/>
    <xf numFmtId="0" fontId="7" fillId="6" borderId="15" applyAlignment="1" pivotButton="0" quotePrefix="0" xfId="0">
      <alignment horizontal="center"/>
    </xf>
    <xf numFmtId="3" fontId="1" fillId="0" borderId="11" applyAlignment="1" pivotButton="0" quotePrefix="0" xfId="0">
      <alignment vertical="bottom"/>
    </xf>
    <xf numFmtId="3" fontId="7" fillId="17" borderId="16" applyAlignment="1" pivotButton="0" quotePrefix="0" xfId="0">
      <alignment horizontal="center"/>
    </xf>
    <xf numFmtId="3" fontId="14" fillId="17" borderId="10" applyAlignment="1" pivotButton="0" quotePrefix="0" xfId="0">
      <alignment horizontal="center"/>
    </xf>
    <xf numFmtId="3" fontId="7" fillId="17" borderId="10" applyAlignment="1" pivotButton="0" quotePrefix="0" xfId="0">
      <alignment horizontal="center"/>
    </xf>
    <xf numFmtId="3" fontId="7" fillId="6" borderId="10" applyAlignment="1" pivotButton="0" quotePrefix="0" xfId="0">
      <alignment horizontal="center"/>
    </xf>
    <xf numFmtId="3" fontId="7" fillId="17" borderId="17" applyAlignment="1" pivotButton="0" quotePrefix="0" xfId="0">
      <alignment horizontal="center"/>
    </xf>
    <xf numFmtId="3" fontId="14" fillId="17" borderId="11" applyAlignment="1" pivotButton="0" quotePrefix="0" xfId="0">
      <alignment horizontal="center"/>
    </xf>
    <xf numFmtId="0" fontId="7" fillId="6" borderId="15" applyAlignment="1" pivotButton="0" quotePrefix="0" xfId="0">
      <alignment horizontal="center"/>
    </xf>
    <xf numFmtId="0" fontId="20" fillId="0" borderId="0" pivotButton="0" quotePrefix="0" xfId="0"/>
    <xf numFmtId="3" fontId="7" fillId="0" borderId="0" pivotButton="0" quotePrefix="0" xfId="0"/>
    <xf numFmtId="0" fontId="20" fillId="0" borderId="0" pivotButton="0" quotePrefix="0" xfId="0"/>
    <xf numFmtId="166" fontId="19" fillId="10" borderId="0" applyAlignment="1" pivotButton="0" quotePrefix="0" xfId="0">
      <alignment horizontal="center"/>
    </xf>
    <xf numFmtId="167" fontId="19" fillId="10" borderId="0" applyAlignment="1" pivotButton="0" quotePrefix="0" xfId="0">
      <alignment horizontal="center"/>
    </xf>
    <xf numFmtId="3" fontId="7" fillId="0" borderId="10" applyAlignment="1" pivotButton="0" quotePrefix="0" xfId="0">
      <alignment horizontal="right"/>
    </xf>
    <xf numFmtId="3" fontId="7" fillId="0" borderId="10" pivotButton="0" quotePrefix="0" xfId="0"/>
    <xf numFmtId="3" fontId="21" fillId="18" borderId="0" pivotButton="0" quotePrefix="0" xfId="0"/>
    <xf numFmtId="3" fontId="21" fillId="0" borderId="0" pivotButton="0" quotePrefix="0" xfId="0"/>
    <xf numFmtId="0" fontId="7" fillId="0" borderId="10" pivotButton="0" quotePrefix="0" xfId="0"/>
    <xf numFmtId="3" fontId="21" fillId="0" borderId="0" pivotButton="0" quotePrefix="0" xfId="0"/>
    <xf numFmtId="3" fontId="1" fillId="0" borderId="0" pivotButton="0" quotePrefix="0" xfId="0"/>
    <xf numFmtId="3" fontId="1" fillId="6" borderId="0" pivotButton="0" quotePrefix="0" xfId="0"/>
    <xf numFmtId="3" fontId="1" fillId="18" borderId="0" pivotButton="0" quotePrefix="0" xfId="0"/>
    <xf numFmtId="3" fontId="1" fillId="0" borderId="0" pivotButton="0" quotePrefix="0" xfId="0"/>
    <xf numFmtId="3" fontId="22" fillId="6" borderId="0" pivotButton="0" quotePrefix="0" xfId="0"/>
    <xf numFmtId="3" fontId="23" fillId="0" borderId="0" pivotButton="0" quotePrefix="0" xfId="0"/>
    <xf numFmtId="0" fontId="19" fillId="19" borderId="0" applyAlignment="1" pivotButton="0" quotePrefix="0" xfId="0">
      <alignment horizontal="center"/>
    </xf>
    <xf numFmtId="0" fontId="0" fillId="0" borderId="0" pivotButton="0" quotePrefix="0" xfId="0"/>
    <xf numFmtId="0" fontId="24" fillId="20" borderId="0" pivotButton="0" quotePrefix="0" xfId="0"/>
    <xf numFmtId="0" fontId="25" fillId="21" borderId="0" pivotButton="0" quotePrefix="0" xfId="0"/>
    <xf numFmtId="0" fontId="26" fillId="0" borderId="0" applyAlignment="1" pivotButton="0" quotePrefix="0" xfId="0">
      <alignment vertical="top" wrapText="1"/>
    </xf>
    <xf numFmtId="0" fontId="27" fillId="22" borderId="24" applyAlignment="1" pivotButton="0" quotePrefix="0" xfId="0">
      <alignment horizontal="center"/>
    </xf>
    <xf numFmtId="0" fontId="26" fillId="0" borderId="24" pivotButton="0" quotePrefix="0" xfId="0"/>
    <xf numFmtId="0" fontId="26" fillId="0" borderId="24" applyAlignment="1" pivotButton="0" quotePrefix="0" xfId="0">
      <alignment horizontal="right"/>
    </xf>
    <xf numFmtId="0" fontId="28" fillId="23" borderId="0" pivotButton="0" quotePrefix="0" xfId="0"/>
    <xf numFmtId="0" fontId="27" fillId="0" borderId="0" applyAlignment="1" pivotButton="0" quotePrefix="0" xfId="0">
      <alignment vertical="top"/>
    </xf>
    <xf numFmtId="0" fontId="29" fillId="0" borderId="24" applyAlignment="1" pivotButton="0" quotePrefix="0" xfId="0">
      <alignment horizontal="right"/>
    </xf>
    <xf numFmtId="0" fontId="30" fillId="0" borderId="24" applyAlignment="1" pivotButton="0" quotePrefix="0" xfId="0">
      <alignment horizontal="right"/>
    </xf>
    <xf numFmtId="0" fontId="27" fillId="24" borderId="24" pivotButton="0" quotePrefix="0" xfId="0"/>
    <xf numFmtId="0" fontId="26" fillId="24" borderId="24" applyAlignment="1" pivotButton="0" quotePrefix="0" xfId="0">
      <alignment horizontal="right"/>
    </xf>
    <xf numFmtId="0" fontId="30" fillId="0" borderId="0" pivotButton="0" quotePrefix="0" xfId="0"/>
    <xf numFmtId="0" fontId="4" fillId="2" borderId="20" applyAlignment="1" pivotButton="0" quotePrefix="0" xfId="0">
      <alignment horizontal="center" wrapText="1"/>
    </xf>
    <xf numFmtId="0" fontId="0" fillId="0" borderId="3" pivotButton="0" quotePrefix="0" xfId="0"/>
    <xf numFmtId="0" fontId="2" fillId="4" borderId="21" applyAlignment="1" pivotButton="0" quotePrefix="0" xfId="0">
      <alignment horizontal="center" vertical="bottom"/>
    </xf>
    <xf numFmtId="0" fontId="0" fillId="0" borderId="4" pivotButton="0" quotePrefix="0" xfId="0"/>
    <xf numFmtId="0" fontId="2" fillId="5" borderId="4" applyAlignment="1" pivotButton="0" quotePrefix="0" xfId="0">
      <alignment horizontal="center" vertical="bottom"/>
    </xf>
    <xf numFmtId="0" fontId="4" fillId="2" borderId="18" applyAlignment="1" pivotButton="0" quotePrefix="0" xfId="0">
      <alignment horizontal="center" wrapText="1"/>
    </xf>
    <xf numFmtId="0" fontId="0" fillId="0" borderId="9" pivotButton="0" quotePrefix="0" xfId="0"/>
    <xf numFmtId="0" fontId="2" fillId="16" borderId="11" applyAlignment="1" pivotButton="0" quotePrefix="0" xfId="0">
      <alignment horizontal="center" vertical="bottom"/>
    </xf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dxfs count="5">
    <dxf>
      <font>
        <color rgb="FF660000"/>
      </font>
      <fill>
        <patternFill patternType="solid">
          <fgColor rgb="FFF4CCCC"/>
          <bgColor rgb="FFF4CCCC"/>
        </patternFill>
      </fill>
      <border/>
    </dxf>
    <dxf>
      <font>
        <b val="1"/>
        <color rgb="FF274E13"/>
      </font>
      <fill>
        <patternFill patternType="solid">
          <fgColor rgb="FFB7E1CD"/>
          <bgColor rgb="FFB7E1CD"/>
        </patternFill>
      </fill>
      <border/>
    </dxf>
    <dxf>
      <font>
        <color rgb="FF274E13"/>
      </font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/>
      </fill>
      <border/>
    </dxf>
    <dxf>
      <font>
        <color theme="7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business.facebook.com/latest/insights/content?asset_id=155988631079054" TargetMode="External" Id="rId1"/><Relationship Type="http://schemas.openxmlformats.org/officeDocument/2006/relationships/hyperlink" Target="https://x.com/i/account_analytics/content?type=posts&amp;sort=date&amp;dir=desc&amp;from=2025-05-01&amp;to=2025-06-30" TargetMode="External" Id="rId2"/><Relationship Type="http://schemas.openxmlformats.org/officeDocument/2006/relationships/hyperlink" Target="https://business.facebook.com/latest/insights/content?asset_id=1559886310790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28" customWidth="1" style="162" min="1" max="1"/>
    <col width="14" customWidth="1" style="162" min="2" max="2"/>
    <col width="14" customWidth="1" style="162" min="3" max="3"/>
    <col width="14" customWidth="1" style="162" min="4" max="4"/>
    <col width="14" customWidth="1" style="162" min="5" max="5"/>
    <col width="16" customWidth="1" style="162" min="6" max="6"/>
  </cols>
  <sheetData>
    <row r="1" ht="26" customHeight="1" s="162">
      <c r="A1" s="163" t="inlineStr">
        <is>
          <t>Análisis integral · 29 dic 2025 – 10 may 2026 · 19 semanas</t>
        </is>
      </c>
    </row>
    <row r="3" ht="20" customHeight="1" s="162">
      <c r="A3" s="164" t="inlineStr">
        <is>
          <t>RESUMEN EJECUTIVO</t>
        </is>
      </c>
    </row>
    <row r="4" ht="120" customHeight="1" s="162">
      <c r="A4" s="165" t="inlineStr">
        <is>
          <t>En 19 semanas IMCO sumó ~10,679 seguidores netos en las 5 redes principales y acumuló ~6 millones de impresiones. Instagram y TikTok lideran el crecimiento porcentual (+24.3% y +31.9%); Twitter es el más comprometido (ER 6.68%) pero su crecimiento de seguidores está estancado (+0.6%). En proyección lineal, 4 de 5 metas anuales de seguidores se cumplirán; solo TikTok va rezagado. Las metas de alcance ya están superadas excepto Twitter (96%). El newsletter muestra una caída sostenida y estadísticamente significativa en la tasa de apertura (-7 pp desde enero). YouTube es volátil: 46% de las vistas se concentra en 3 semanas.</t>
        </is>
      </c>
    </row>
    <row r="6" ht="20" customHeight="1" s="162">
      <c r="A6" s="164" t="inlineStr">
        <is>
          <t>REDES SOCIALES — VISIÓN GENERAL</t>
        </is>
      </c>
    </row>
    <row r="7">
      <c r="A7" s="166" t="inlineStr">
        <is>
          <t>Plataforma</t>
        </is>
      </c>
      <c r="B7" s="166" t="inlineStr">
        <is>
          <t>Inicio</t>
        </is>
      </c>
      <c r="C7" s="166" t="inlineStr">
        <is>
          <t>Fin</t>
        </is>
      </c>
      <c r="D7" s="166" t="inlineStr">
        <is>
          <t>Crecimiento</t>
        </is>
      </c>
      <c r="E7" s="166" t="inlineStr">
        <is>
          <t>% crec.</t>
        </is>
      </c>
      <c r="F7" s="166" t="inlineStr">
        <is>
          <t>ER prom.</t>
        </is>
      </c>
    </row>
    <row r="8">
      <c r="A8" s="167" t="inlineStr">
        <is>
          <t>Facebook</t>
        </is>
      </c>
      <c r="B8" s="168" t="inlineStr">
        <is>
          <t>135,044</t>
        </is>
      </c>
      <c r="C8" s="168" t="inlineStr">
        <is>
          <t>138,225</t>
        </is>
      </c>
      <c r="D8" s="168" t="inlineStr">
        <is>
          <t>+3,181</t>
        </is>
      </c>
      <c r="E8" s="168" t="inlineStr">
        <is>
          <t>+2.4%</t>
        </is>
      </c>
      <c r="F8" s="168" t="inlineStr">
        <is>
          <t>2.17%</t>
        </is>
      </c>
    </row>
    <row r="9">
      <c r="A9" s="167" t="inlineStr">
        <is>
          <t>Twitter/X</t>
        </is>
      </c>
      <c r="B9" s="168" t="inlineStr">
        <is>
          <t>145,071</t>
        </is>
      </c>
      <c r="C9" s="168" t="inlineStr">
        <is>
          <t>145,896</t>
        </is>
      </c>
      <c r="D9" s="168" t="inlineStr">
        <is>
          <t>+825</t>
        </is>
      </c>
      <c r="E9" s="168" t="inlineStr">
        <is>
          <t>+0.6%</t>
        </is>
      </c>
      <c r="F9" s="168" t="inlineStr">
        <is>
          <t>6.68%</t>
        </is>
      </c>
    </row>
    <row r="10">
      <c r="A10" s="167" t="inlineStr">
        <is>
          <t>Instagram</t>
        </is>
      </c>
      <c r="B10" s="168" t="inlineStr">
        <is>
          <t>14,409</t>
        </is>
      </c>
      <c r="C10" s="168" t="inlineStr">
        <is>
          <t>17,904</t>
        </is>
      </c>
      <c r="D10" s="168" t="inlineStr">
        <is>
          <t>+3,495</t>
        </is>
      </c>
      <c r="E10" s="168" t="inlineStr">
        <is>
          <t>+24.3%</t>
        </is>
      </c>
      <c r="F10" s="168" t="inlineStr">
        <is>
          <t>2.51%</t>
        </is>
      </c>
    </row>
    <row r="11">
      <c r="A11" s="167" t="inlineStr">
        <is>
          <t>LinkedIn</t>
        </is>
      </c>
      <c r="B11" s="168" t="inlineStr">
        <is>
          <t>21,760</t>
        </is>
      </c>
      <c r="C11" s="168" t="inlineStr">
        <is>
          <t>23,954</t>
        </is>
      </c>
      <c r="D11" s="168" t="inlineStr">
        <is>
          <t>+2,194</t>
        </is>
      </c>
      <c r="E11" s="168" t="inlineStr">
        <is>
          <t>+10.1%</t>
        </is>
      </c>
      <c r="F11" s="168" t="inlineStr">
        <is>
          <t>1.86%</t>
        </is>
      </c>
    </row>
    <row r="12">
      <c r="A12" s="167" t="inlineStr">
        <is>
          <t>TikTok</t>
        </is>
      </c>
      <c r="B12" s="168" t="inlineStr">
        <is>
          <t>3,089</t>
        </is>
      </c>
      <c r="C12" s="168" t="inlineStr">
        <is>
          <t>4,073</t>
        </is>
      </c>
      <c r="D12" s="168" t="inlineStr">
        <is>
          <t>+984</t>
        </is>
      </c>
      <c r="E12" s="168" t="inlineStr">
        <is>
          <t>+31.9%</t>
        </is>
      </c>
      <c r="F12" s="168" t="inlineStr">
        <is>
          <t>5.71%</t>
        </is>
      </c>
    </row>
    <row r="14">
      <c r="A14" s="169" t="inlineStr">
        <is>
          <t>Hallazgos clave por plataforma</t>
        </is>
      </c>
    </row>
    <row r="15" ht="60" customHeight="1" s="162">
      <c r="A15" s="170" t="inlineStr">
        <is>
          <t>Facebook</t>
        </is>
      </c>
      <c r="B15" s="165" t="inlineStr">
        <is>
          <t>Volumen líder en impresiones (2.5M acumuladas) pero crecimiento estancado (+2.4%). Volatilidad alta (CV 75%): la semana pico tuvo 14x más impresiones que la peor. Mediana (93k) muy por debajo del promedio (132k): pocos posts dominan el alcance.</t>
        </is>
      </c>
    </row>
    <row r="16" ht="60" customHeight="1" s="162">
      <c r="A16" s="170" t="inlineStr">
        <is>
          <t>Twitter/X</t>
        </is>
      </c>
      <c r="B16" s="165" t="inlineStr">
        <is>
          <t>Mejor ER del portafolio (6.68%) — la audiencia más comprometida. Pero crecimiento casi nulo (+41 seguidores/semana). La meta anual de +1,800 va al 46% con el año al 35%: se cumplirá apenas.</t>
        </is>
      </c>
    </row>
    <row r="17" ht="60" customHeight="1" s="162">
      <c r="A17" s="170" t="inlineStr">
        <is>
          <t>Instagram</t>
        </is>
      </c>
      <c r="B17" s="165" t="inlineStr">
        <is>
          <t>Estrella en crecimiento absoluto (+3,495, +24.3%). Volatilidad altísima (CV 191%) por la semana pico de 583k. Meta anual ya al 57% del año transcurrido al 35% — va adelantada.</t>
        </is>
      </c>
    </row>
    <row r="18" ht="60" customHeight="1" s="162">
      <c r="A18" s="170" t="inlineStr">
        <is>
          <t>LinkedIn</t>
        </is>
      </c>
      <c r="B18" s="165" t="inlineStr">
        <is>
          <t>Crecimiento moderado (+10.1%) consistente con el perfil B2B. ER bajo (1.86%) pero esperable para la plataforma. El ICR 2026 disparó el alcance en su semana de lanzamiento.</t>
        </is>
      </c>
    </row>
    <row r="19" ht="60" customHeight="1" s="162">
      <c r="A19" s="170" t="inlineStr">
        <is>
          <t>TikTok</t>
        </is>
      </c>
      <c r="B19" s="165" t="inlineStr">
        <is>
          <t>Mayor crecimiento porcentual (+31.9%) sobre base pequeña. En proyección lineal NO alcanza la meta anual: necesita +57.7 seguidores/semana, va a +52.</t>
        </is>
      </c>
    </row>
    <row r="21" ht="20" customHeight="1" s="162">
      <c r="A21" s="164" t="inlineStr">
        <is>
          <t>PROGRESO HACIA METAS ANUALES 2026</t>
        </is>
      </c>
    </row>
    <row r="22" ht="18" customHeight="1" s="162">
      <c r="A22" s="165" t="inlineStr">
        <is>
          <t>Al 10 de mayo se transcurrió el 35% del año. Proyección lineal del ritmo actual:</t>
        </is>
      </c>
    </row>
    <row r="23">
      <c r="A23" s="166" t="inlineStr">
        <is>
          <t>Plataforma</t>
        </is>
      </c>
      <c r="B23" s="166" t="inlineStr">
        <is>
          <t>Crec/sem</t>
        </is>
      </c>
      <c r="C23" s="166" t="inlineStr">
        <is>
          <t>Proy. fin 2026</t>
        </is>
      </c>
      <c r="D23" s="166" t="inlineStr">
        <is>
          <t>Meta fin 2026</t>
        </is>
      </c>
      <c r="E23" s="166" t="inlineStr">
        <is>
          <t>¿Cumple?</t>
        </is>
      </c>
      <c r="F23" s="166" t="inlineStr"/>
    </row>
    <row r="24">
      <c r="A24" s="167" t="inlineStr">
        <is>
          <t>Facebook</t>
        </is>
      </c>
      <c r="B24" s="168" t="inlineStr">
        <is>
          <t>+167</t>
        </is>
      </c>
      <c r="C24" s="168" t="inlineStr">
        <is>
          <t>143,750</t>
        </is>
      </c>
      <c r="D24" s="168" t="inlineStr">
        <is>
          <t>138,824</t>
        </is>
      </c>
      <c r="E24" s="171" t="inlineStr">
        <is>
          <t>Sí — holgado</t>
        </is>
      </c>
      <c r="F24" s="168" t="inlineStr"/>
    </row>
    <row r="25">
      <c r="A25" s="167" t="inlineStr">
        <is>
          <t>Twitter/X</t>
        </is>
      </c>
      <c r="B25" s="168" t="inlineStr">
        <is>
          <t>+43</t>
        </is>
      </c>
      <c r="C25" s="168" t="inlineStr">
        <is>
          <t>147,329</t>
        </is>
      </c>
      <c r="D25" s="168" t="inlineStr">
        <is>
          <t>146,871</t>
        </is>
      </c>
      <c r="E25" s="171" t="inlineStr">
        <is>
          <t>Sí — apenas</t>
        </is>
      </c>
      <c r="F25" s="168" t="inlineStr"/>
    </row>
    <row r="26">
      <c r="A26" s="167" t="inlineStr">
        <is>
          <t>Instagram</t>
        </is>
      </c>
      <c r="B26" s="168" t="inlineStr">
        <is>
          <t>+184</t>
        </is>
      </c>
      <c r="C26" s="168" t="inlineStr">
        <is>
          <t>23,974</t>
        </is>
      </c>
      <c r="D26" s="168" t="inlineStr">
        <is>
          <t>20,529</t>
        </is>
      </c>
      <c r="E26" s="171" t="inlineStr">
        <is>
          <t>Sí — holgado</t>
        </is>
      </c>
      <c r="F26" s="168" t="inlineStr"/>
    </row>
    <row r="27">
      <c r="A27" s="167" t="inlineStr">
        <is>
          <t>LinkedIn</t>
        </is>
      </c>
      <c r="B27" s="168" t="inlineStr">
        <is>
          <t>+115</t>
        </is>
      </c>
      <c r="C27" s="168" t="inlineStr">
        <is>
          <t>27,765</t>
        </is>
      </c>
      <c r="D27" s="168" t="inlineStr">
        <is>
          <t>26,260</t>
        </is>
      </c>
      <c r="E27" s="171" t="inlineStr">
        <is>
          <t>Sí — holgado</t>
        </is>
      </c>
      <c r="F27" s="168" t="inlineStr"/>
    </row>
    <row r="28">
      <c r="A28" s="167" t="inlineStr">
        <is>
          <t>TikTok</t>
        </is>
      </c>
      <c r="B28" s="168" t="inlineStr">
        <is>
          <t>+52</t>
        </is>
      </c>
      <c r="C28" s="168" t="inlineStr">
        <is>
          <t>5,782</t>
        </is>
      </c>
      <c r="D28" s="168" t="inlineStr">
        <is>
          <t>6,089</t>
        </is>
      </c>
      <c r="E28" s="172" t="inlineStr">
        <is>
          <t>No — falta 5%</t>
        </is>
      </c>
      <c r="F28" s="168" t="inlineStr"/>
    </row>
    <row r="30" ht="20" customHeight="1" s="162">
      <c r="A30" s="164" t="inlineStr">
        <is>
          <t>ALCANCE: REAL vs META MENSUAL</t>
        </is>
      </c>
    </row>
    <row r="31" ht="18" customHeight="1" s="162">
      <c r="A31" s="165" t="inlineStr">
        <is>
          <t>Impresiones acumuladas en 19 semanas (≈4.33 meses) contra meta proporcional:</t>
        </is>
      </c>
    </row>
    <row r="32">
      <c r="A32" s="166" t="inlineStr">
        <is>
          <t>Plataforma</t>
        </is>
      </c>
      <c r="B32" s="166" t="inlineStr">
        <is>
          <t>19 semanas</t>
        </is>
      </c>
      <c r="C32" s="166" t="inlineStr">
        <is>
          <t>Meta mensual</t>
        </is>
      </c>
      <c r="D32" s="166" t="inlineStr">
        <is>
          <t>Meta acum.</t>
        </is>
      </c>
      <c r="E32" s="166" t="inlineStr">
        <is>
          <t>% logro</t>
        </is>
      </c>
      <c r="F32" s="166" t="inlineStr"/>
    </row>
    <row r="33">
      <c r="A33" s="167" t="inlineStr">
        <is>
          <t>Facebook</t>
        </is>
      </c>
      <c r="B33" s="168" t="inlineStr">
        <is>
          <t>2,503,237</t>
        </is>
      </c>
      <c r="C33" s="168" t="inlineStr">
        <is>
          <t>350,000</t>
        </is>
      </c>
      <c r="D33" s="168" t="inlineStr">
        <is>
          <t>1,515,800</t>
        </is>
      </c>
      <c r="E33" s="171" t="inlineStr">
        <is>
          <t>165%</t>
        </is>
      </c>
      <c r="F33" s="168" t="inlineStr"/>
    </row>
    <row r="34">
      <c r="A34" s="167" t="inlineStr">
        <is>
          <t>Twitter/X</t>
        </is>
      </c>
      <c r="B34" s="168" t="inlineStr">
        <is>
          <t>1,470,522</t>
        </is>
      </c>
      <c r="C34" s="168" t="inlineStr">
        <is>
          <t>350,000</t>
        </is>
      </c>
      <c r="D34" s="168" t="inlineStr">
        <is>
          <t>1,515,800</t>
        </is>
      </c>
      <c r="E34" s="172" t="inlineStr">
        <is>
          <t>97%</t>
        </is>
      </c>
      <c r="F34" s="168" t="inlineStr"/>
    </row>
    <row r="35">
      <c r="A35" s="167" t="inlineStr">
        <is>
          <t>Instagram</t>
        </is>
      </c>
      <c r="B35" s="168" t="inlineStr">
        <is>
          <t>1,267,932</t>
        </is>
      </c>
      <c r="C35" s="168" t="inlineStr">
        <is>
          <t>150,000</t>
        </is>
      </c>
      <c r="D35" s="168" t="inlineStr">
        <is>
          <t>649,650</t>
        </is>
      </c>
      <c r="E35" s="171" t="inlineStr">
        <is>
          <t>195%</t>
        </is>
      </c>
      <c r="F35" s="168" t="inlineStr"/>
    </row>
    <row r="36">
      <c r="A36" s="167" t="inlineStr">
        <is>
          <t>LinkedIn</t>
        </is>
      </c>
      <c r="B36" s="168" t="inlineStr">
        <is>
          <t>545,656</t>
        </is>
      </c>
      <c r="C36" s="168" t="inlineStr">
        <is>
          <t>85,000</t>
        </is>
      </c>
      <c r="D36" s="168" t="inlineStr">
        <is>
          <t>368,050</t>
        </is>
      </c>
      <c r="E36" s="171" t="inlineStr">
        <is>
          <t>148%</t>
        </is>
      </c>
      <c r="F36" s="168" t="inlineStr"/>
    </row>
    <row r="37">
      <c r="A37" s="167" t="inlineStr">
        <is>
          <t>TikTok</t>
        </is>
      </c>
      <c r="B37" s="168" t="inlineStr">
        <is>
          <t>235,473</t>
        </is>
      </c>
      <c r="C37" s="168" t="inlineStr">
        <is>
          <t>45,000</t>
        </is>
      </c>
      <c r="D37" s="168" t="inlineStr">
        <is>
          <t>194,850</t>
        </is>
      </c>
      <c r="E37" s="171" t="inlineStr">
        <is>
          <t>121%</t>
        </is>
      </c>
      <c r="F37" s="168" t="inlineStr"/>
    </row>
    <row r="39" ht="30" customHeight="1" s="162">
      <c r="A39" s="165" t="inlineStr">
        <is>
          <t>Twitter es la única plataforma corta vs meta de alcance (-45k impresiones). Las demás están 21% a 95% por encima.</t>
        </is>
      </c>
    </row>
    <row r="41" ht="20" customHeight="1" s="162">
      <c r="A41" s="164" t="inlineStr">
        <is>
          <t>POSICIONAMIENTO vs OTROS THINK TANKS</t>
        </is>
      </c>
    </row>
    <row r="42" ht="18" customHeight="1" s="162">
      <c r="A42" s="165" t="inlineStr">
        <is>
          <t>Crecimiento de seguidores entre 20 ene y 30 mar (≈10 semanas):</t>
        </is>
      </c>
    </row>
    <row r="43">
      <c r="A43" s="169" t="inlineStr">
        <is>
          <t>Twitter/X</t>
        </is>
      </c>
    </row>
    <row r="44">
      <c r="A44" s="166" t="inlineStr">
        <is>
          <t>Think tank</t>
        </is>
      </c>
      <c r="B44" s="166" t="inlineStr">
        <is>
          <t>20 ene</t>
        </is>
      </c>
      <c r="C44" s="166" t="inlineStr">
        <is>
          <t>30 mar</t>
        </is>
      </c>
      <c r="D44" s="166" t="inlineStr">
        <is>
          <t>Cambio</t>
        </is>
      </c>
      <c r="E44" s="166" t="inlineStr">
        <is>
          <t>%</t>
        </is>
      </c>
      <c r="F44" s="166" t="inlineStr"/>
    </row>
    <row r="45">
      <c r="A45" s="167" t="inlineStr">
        <is>
          <t>Mexicanos contra la corrupción</t>
        </is>
      </c>
      <c r="B45" s="168" t="inlineStr">
        <is>
          <t>396,242</t>
        </is>
      </c>
      <c r="C45" s="168" t="inlineStr">
        <is>
          <t>398,507</t>
        </is>
      </c>
      <c r="D45" s="168" t="inlineStr">
        <is>
          <t>+2,265</t>
        </is>
      </c>
      <c r="E45" s="168" t="inlineStr">
        <is>
          <t>+0.57%</t>
        </is>
      </c>
      <c r="F45" s="168" t="inlineStr"/>
    </row>
    <row r="46">
      <c r="A46" s="173" t="inlineStr">
        <is>
          <t>IMCO</t>
        </is>
      </c>
      <c r="B46" s="174" t="inlineStr">
        <is>
          <t>145,189</t>
        </is>
      </c>
      <c r="C46" s="174" t="inlineStr">
        <is>
          <t>145,589</t>
        </is>
      </c>
      <c r="D46" s="174" t="inlineStr">
        <is>
          <t>+400</t>
        </is>
      </c>
      <c r="E46" s="174" t="inlineStr">
        <is>
          <t>+0.28%</t>
        </is>
      </c>
      <c r="F46" s="174" t="inlineStr"/>
    </row>
    <row r="47">
      <c r="A47" s="167" t="inlineStr">
        <is>
          <t>Data Cívica</t>
        </is>
      </c>
      <c r="B47" s="168" t="inlineStr">
        <is>
          <t>33,144</t>
        </is>
      </c>
      <c r="C47" s="168" t="inlineStr">
        <is>
          <t>33,190</t>
        </is>
      </c>
      <c r="D47" s="168" t="inlineStr">
        <is>
          <t>+46</t>
        </is>
      </c>
      <c r="E47" s="168" t="inlineStr">
        <is>
          <t>+0.14%</t>
        </is>
      </c>
      <c r="F47" s="168" t="inlineStr"/>
    </row>
    <row r="48">
      <c r="A48" s="167" t="inlineStr">
        <is>
          <t>México Evalúa</t>
        </is>
      </c>
      <c r="B48" s="168" t="inlineStr">
        <is>
          <t>142,996</t>
        </is>
      </c>
      <c r="C48" s="168" t="inlineStr">
        <is>
          <t>143,186</t>
        </is>
      </c>
      <c r="D48" s="168" t="inlineStr">
        <is>
          <t>+190</t>
        </is>
      </c>
      <c r="E48" s="168" t="inlineStr">
        <is>
          <t>+0.13%</t>
        </is>
      </c>
      <c r="F48" s="168" t="inlineStr"/>
    </row>
    <row r="49">
      <c r="A49" s="167" t="inlineStr">
        <is>
          <t>México ¿Cómo vamos?</t>
        </is>
      </c>
      <c r="B49" s="168" t="inlineStr">
        <is>
          <t>137,242</t>
        </is>
      </c>
      <c r="C49" s="168" t="inlineStr">
        <is>
          <t>137,201</t>
        </is>
      </c>
      <c r="D49" s="168" t="inlineStr">
        <is>
          <t>-41</t>
        </is>
      </c>
      <c r="E49" s="168" t="inlineStr">
        <is>
          <t>-0.03%</t>
        </is>
      </c>
      <c r="F49" s="168" t="inlineStr"/>
    </row>
    <row r="50">
      <c r="A50" s="167" t="inlineStr">
        <is>
          <t>CIEP</t>
        </is>
      </c>
      <c r="B50" s="168" t="inlineStr">
        <is>
          <t>16,530</t>
        </is>
      </c>
      <c r="C50" s="168" t="inlineStr">
        <is>
          <t>16,525</t>
        </is>
      </c>
      <c r="D50" s="168" t="inlineStr">
        <is>
          <t>-5</t>
        </is>
      </c>
      <c r="E50" s="168" t="inlineStr">
        <is>
          <t>-0.03%</t>
        </is>
      </c>
      <c r="F50" s="168" t="inlineStr"/>
    </row>
    <row r="52">
      <c r="A52" s="169" t="inlineStr">
        <is>
          <t>Instagram — IMCO #1</t>
        </is>
      </c>
    </row>
    <row r="53">
      <c r="A53" s="166" t="inlineStr">
        <is>
          <t>Think tank</t>
        </is>
      </c>
      <c r="B53" s="166" t="inlineStr">
        <is>
          <t>20 ene</t>
        </is>
      </c>
      <c r="C53" s="166" t="inlineStr">
        <is>
          <t>30 mar</t>
        </is>
      </c>
      <c r="D53" s="166" t="inlineStr">
        <is>
          <t>Cambio</t>
        </is>
      </c>
      <c r="E53" s="166" t="inlineStr">
        <is>
          <t>%</t>
        </is>
      </c>
      <c r="F53" s="166" t="inlineStr"/>
    </row>
    <row r="54">
      <c r="A54" s="173" t="inlineStr">
        <is>
          <t>IMCO</t>
        </is>
      </c>
      <c r="B54" s="174" t="inlineStr">
        <is>
          <t>14,882</t>
        </is>
      </c>
      <c r="C54" s="174" t="inlineStr">
        <is>
          <t>17,385</t>
        </is>
      </c>
      <c r="D54" s="174" t="inlineStr">
        <is>
          <t>+2,503</t>
        </is>
      </c>
      <c r="E54" s="174" t="inlineStr">
        <is>
          <t>+16.82%</t>
        </is>
      </c>
      <c r="F54" s="174" t="inlineStr"/>
    </row>
    <row r="55">
      <c r="A55" s="167" t="inlineStr">
        <is>
          <t>México ¿Cómo vamos?</t>
        </is>
      </c>
      <c r="B55" s="168" t="inlineStr">
        <is>
          <t>11,316</t>
        </is>
      </c>
      <c r="C55" s="168" t="inlineStr">
        <is>
          <t>12,536</t>
        </is>
      </c>
      <c r="D55" s="168" t="inlineStr">
        <is>
          <t>+1,220</t>
        </is>
      </c>
      <c r="E55" s="168" t="inlineStr">
        <is>
          <t>+10.78%</t>
        </is>
      </c>
      <c r="F55" s="168" t="inlineStr"/>
    </row>
    <row r="56">
      <c r="A56" s="167" t="inlineStr">
        <is>
          <t>CIEP</t>
        </is>
      </c>
      <c r="B56" s="168" t="inlineStr">
        <is>
          <t>643</t>
        </is>
      </c>
      <c r="C56" s="168" t="inlineStr">
        <is>
          <t>697</t>
        </is>
      </c>
      <c r="D56" s="168" t="inlineStr">
        <is>
          <t>+54</t>
        </is>
      </c>
      <c r="E56" s="168" t="inlineStr">
        <is>
          <t>+8.40%</t>
        </is>
      </c>
      <c r="F56" s="168" t="inlineStr"/>
    </row>
    <row r="57">
      <c r="A57" s="167" t="inlineStr">
        <is>
          <t>Data Cívica</t>
        </is>
      </c>
      <c r="B57" s="168" t="inlineStr">
        <is>
          <t>9,032</t>
        </is>
      </c>
      <c r="C57" s="168" t="inlineStr">
        <is>
          <t>9,659</t>
        </is>
      </c>
      <c r="D57" s="168" t="inlineStr">
        <is>
          <t>+627</t>
        </is>
      </c>
      <c r="E57" s="168" t="inlineStr">
        <is>
          <t>+6.94%</t>
        </is>
      </c>
      <c r="F57" s="168" t="inlineStr"/>
    </row>
    <row r="58">
      <c r="A58" s="167" t="inlineStr">
        <is>
          <t>Mexicanos contra la corrupción</t>
        </is>
      </c>
      <c r="B58" s="168" t="inlineStr">
        <is>
          <t>33,611</t>
        </is>
      </c>
      <c r="C58" s="168" t="inlineStr">
        <is>
          <t>34,510</t>
        </is>
      </c>
      <c r="D58" s="168" t="inlineStr">
        <is>
          <t>+899</t>
        </is>
      </c>
      <c r="E58" s="168" t="inlineStr">
        <is>
          <t>+2.67%</t>
        </is>
      </c>
      <c r="F58" s="168" t="inlineStr"/>
    </row>
    <row r="59">
      <c r="A59" s="167" t="inlineStr">
        <is>
          <t>México Evalúa</t>
        </is>
      </c>
      <c r="B59" s="168" t="inlineStr">
        <is>
          <t>7,909</t>
        </is>
      </c>
      <c r="C59" s="168" t="inlineStr">
        <is>
          <t>8,049</t>
        </is>
      </c>
      <c r="D59" s="168" t="inlineStr">
        <is>
          <t>+140</t>
        </is>
      </c>
      <c r="E59" s="168" t="inlineStr">
        <is>
          <t>+1.77%</t>
        </is>
      </c>
      <c r="F59" s="168" t="inlineStr"/>
    </row>
    <row r="61">
      <c r="A61" s="169" t="inlineStr">
        <is>
          <t>TikTok — IMCO #1</t>
        </is>
      </c>
    </row>
    <row r="62">
      <c r="A62" s="166" t="inlineStr">
        <is>
          <t>Think tank</t>
        </is>
      </c>
      <c r="B62" s="166" t="inlineStr">
        <is>
          <t>20 ene</t>
        </is>
      </c>
      <c r="C62" s="166" t="inlineStr">
        <is>
          <t>30 mar</t>
        </is>
      </c>
      <c r="D62" s="166" t="inlineStr">
        <is>
          <t>Cambio</t>
        </is>
      </c>
      <c r="E62" s="166" t="inlineStr">
        <is>
          <t>%</t>
        </is>
      </c>
      <c r="F62" s="166" t="inlineStr"/>
    </row>
    <row r="63">
      <c r="A63" s="173" t="inlineStr">
        <is>
          <t>IMCO</t>
        </is>
      </c>
      <c r="B63" s="174" t="inlineStr">
        <is>
          <t>3,117</t>
        </is>
      </c>
      <c r="C63" s="174" t="inlineStr">
        <is>
          <t>3,936</t>
        </is>
      </c>
      <c r="D63" s="174" t="inlineStr">
        <is>
          <t>+819</t>
        </is>
      </c>
      <c r="E63" s="174" t="inlineStr">
        <is>
          <t>+26.28%</t>
        </is>
      </c>
      <c r="F63" s="174" t="inlineStr"/>
    </row>
    <row r="64">
      <c r="A64" s="167" t="inlineStr">
        <is>
          <t>México ¿Cómo vamos?</t>
        </is>
      </c>
      <c r="B64" s="168" t="inlineStr">
        <is>
          <t>625</t>
        </is>
      </c>
      <c r="C64" s="168" t="inlineStr">
        <is>
          <t>729</t>
        </is>
      </c>
      <c r="D64" s="168" t="inlineStr">
        <is>
          <t>+104</t>
        </is>
      </c>
      <c r="E64" s="168" t="inlineStr">
        <is>
          <t>+16.64%</t>
        </is>
      </c>
      <c r="F64" s="168" t="inlineStr"/>
    </row>
    <row r="65">
      <c r="A65" s="167" t="inlineStr">
        <is>
          <t>México Evalúa</t>
        </is>
      </c>
      <c r="B65" s="168" t="inlineStr">
        <is>
          <t>463</t>
        </is>
      </c>
      <c r="C65" s="168" t="inlineStr">
        <is>
          <t>489</t>
        </is>
      </c>
      <c r="D65" s="168" t="inlineStr">
        <is>
          <t>+26</t>
        </is>
      </c>
      <c r="E65" s="168" t="inlineStr">
        <is>
          <t>+5.62%</t>
        </is>
      </c>
      <c r="F65" s="168" t="inlineStr"/>
    </row>
    <row r="66">
      <c r="A66" s="167" t="inlineStr">
        <is>
          <t>Mexicanos contra la corrupción</t>
        </is>
      </c>
      <c r="B66" s="168" t="inlineStr">
        <is>
          <t>68,300</t>
        </is>
      </c>
      <c r="C66" s="168" t="inlineStr">
        <is>
          <t>69,300</t>
        </is>
      </c>
      <c r="D66" s="168" t="inlineStr">
        <is>
          <t>+1,000</t>
        </is>
      </c>
      <c r="E66" s="168" t="inlineStr">
        <is>
          <t>+1.46%</t>
        </is>
      </c>
      <c r="F66" s="168" t="inlineStr"/>
    </row>
    <row r="68">
      <c r="A68" s="169" t="inlineStr">
        <is>
          <t>LinkedIn — IMCO #2</t>
        </is>
      </c>
    </row>
    <row r="69">
      <c r="A69" s="166" t="inlineStr">
        <is>
          <t>Think tank</t>
        </is>
      </c>
      <c r="B69" s="166" t="inlineStr">
        <is>
          <t>20 ene</t>
        </is>
      </c>
      <c r="C69" s="166" t="inlineStr">
        <is>
          <t>30 mar</t>
        </is>
      </c>
      <c r="D69" s="166" t="inlineStr">
        <is>
          <t>Cambio</t>
        </is>
      </c>
      <c r="E69" s="166" t="inlineStr">
        <is>
          <t>%</t>
        </is>
      </c>
      <c r="F69" s="166" t="inlineStr"/>
    </row>
    <row r="70">
      <c r="A70" s="167" t="inlineStr">
        <is>
          <t>México ¿Cómo vamos?</t>
        </is>
      </c>
      <c r="B70" s="168" t="inlineStr">
        <is>
          <t>2,718</t>
        </is>
      </c>
      <c r="C70" s="168" t="inlineStr">
        <is>
          <t>2,981</t>
        </is>
      </c>
      <c r="D70" s="168" t="inlineStr">
        <is>
          <t>+263</t>
        </is>
      </c>
      <c r="E70" s="168" t="inlineStr">
        <is>
          <t>+9.68%</t>
        </is>
      </c>
      <c r="F70" s="168" t="inlineStr"/>
    </row>
    <row r="71">
      <c r="A71" s="173" t="inlineStr">
        <is>
          <t>IMCO</t>
        </is>
      </c>
      <c r="B71" s="174" t="inlineStr">
        <is>
          <t>21,995</t>
        </is>
      </c>
      <c r="C71" s="174" t="inlineStr">
        <is>
          <t>23,326</t>
        </is>
      </c>
      <c r="D71" s="174" t="inlineStr">
        <is>
          <t>+1,331</t>
        </is>
      </c>
      <c r="E71" s="174" t="inlineStr">
        <is>
          <t>+6.05%</t>
        </is>
      </c>
      <c r="F71" s="174" t="inlineStr"/>
    </row>
    <row r="72">
      <c r="A72" s="167" t="inlineStr">
        <is>
          <t>México Evalúa</t>
        </is>
      </c>
      <c r="B72" s="168" t="inlineStr">
        <is>
          <t>14,023</t>
        </is>
      </c>
      <c r="C72" s="168" t="inlineStr">
        <is>
          <t>14,435</t>
        </is>
      </c>
      <c r="D72" s="168" t="inlineStr">
        <is>
          <t>+412</t>
        </is>
      </c>
      <c r="E72" s="168" t="inlineStr">
        <is>
          <t>+2.94%</t>
        </is>
      </c>
      <c r="F72" s="168" t="inlineStr"/>
    </row>
    <row r="74" ht="55" customHeight="1" s="162">
      <c r="A74" s="165" t="inlineStr">
        <is>
          <t>Resumen competitivo: IMCO lidera Instagram y TikTok en crecimiento porcentual del sector. En Twitter va #2 detrás de MCCI (aunque MCCI parte de 3x más base). En LinkedIn va #2 detrás de México ¿Cómo vamos? Narrativa directiva: 'IMCO lidera el crecimiento digital del sector think tank en redes emergentes (IG y TikTok)'.</t>
        </is>
      </c>
    </row>
    <row r="76" ht="20" customHeight="1" s="162">
      <c r="A76" s="164" t="inlineStr">
        <is>
          <t>YOUTUBE</t>
        </is>
      </c>
    </row>
    <row r="77">
      <c r="A77" s="166" t="inlineStr">
        <is>
          <t>Métrica</t>
        </is>
      </c>
      <c r="B77" s="166" t="inlineStr">
        <is>
          <t>Total</t>
        </is>
      </c>
      <c r="C77" s="166" t="inlineStr">
        <is>
          <t>Promedio/sem</t>
        </is>
      </c>
      <c r="D77" s="166" t="inlineStr">
        <is>
          <t>Mediana</t>
        </is>
      </c>
      <c r="E77" s="166" t="inlineStr">
        <is>
          <t>Mín</t>
        </is>
      </c>
      <c r="F77" s="166" t="inlineStr">
        <is>
          <t>Máx</t>
        </is>
      </c>
    </row>
    <row r="78">
      <c r="A78" s="167" t="inlineStr">
        <is>
          <t>Vistas</t>
        </is>
      </c>
      <c r="B78" s="168" t="inlineStr">
        <is>
          <t>73,600</t>
        </is>
      </c>
      <c r="C78" s="168" t="inlineStr">
        <is>
          <t>3,874</t>
        </is>
      </c>
      <c r="D78" s="168" t="inlineStr">
        <is>
          <t>2,430</t>
        </is>
      </c>
      <c r="E78" s="168" t="inlineStr">
        <is>
          <t>575</t>
        </is>
      </c>
      <c r="F78" s="168" t="inlineStr">
        <is>
          <t>15,092</t>
        </is>
      </c>
    </row>
    <row r="79">
      <c r="A79" s="167" t="inlineStr">
        <is>
          <t>Tiempo (horas)</t>
        </is>
      </c>
      <c r="B79" s="168" t="inlineStr">
        <is>
          <t>796.5</t>
        </is>
      </c>
      <c r="C79" s="168" t="inlineStr">
        <is>
          <t>41.9</t>
        </is>
      </c>
      <c r="D79" s="168" t="inlineStr">
        <is>
          <t>21.8</t>
        </is>
      </c>
      <c r="E79" s="168" t="inlineStr">
        <is>
          <t>8.4</t>
        </is>
      </c>
      <c r="F79" s="168" t="inlineStr">
        <is>
          <t>217.1</t>
        </is>
      </c>
    </row>
    <row r="80">
      <c r="A80" s="167" t="inlineStr">
        <is>
          <t>Suscriptores</t>
        </is>
      </c>
      <c r="B80" s="168" t="inlineStr">
        <is>
          <t>124</t>
        </is>
      </c>
      <c r="C80" s="168" t="inlineStr">
        <is>
          <t>6.5</t>
        </is>
      </c>
      <c r="D80" s="168" t="inlineStr">
        <is>
          <t>6</t>
        </is>
      </c>
      <c r="E80" s="168" t="inlineStr">
        <is>
          <t>0</t>
        </is>
      </c>
      <c r="F80" s="168" t="inlineStr">
        <is>
          <t>16</t>
        </is>
      </c>
    </row>
    <row r="82" ht="70" customHeight="1" s="162">
      <c r="A82" s="165" t="inlineStr">
        <is>
          <t>Volatilidad extrema (CV 104%): la semana pico tuvo 26x más vistas que la peor. Las 3 mejores semanas (23-29 mar, 16-22 mar, 2-8 feb) suman 46% del total. Duración promedio por vista: 39 segundos — bajo, sugiere mucha entrada por Shorts. Correlación vistas↔suscriptores +0.39 (moderada).</t>
        </is>
      </c>
    </row>
    <row r="84" ht="20" customHeight="1" s="162">
      <c r="A84" s="164" t="inlineStr">
        <is>
          <t>NEWSLETTER</t>
        </is>
      </c>
    </row>
    <row r="85">
      <c r="A85" s="166" t="inlineStr">
        <is>
          <t>Métrica</t>
        </is>
      </c>
      <c r="B85" s="166" t="inlineStr">
        <is>
          <t>Valor</t>
        </is>
      </c>
      <c r="C85" s="166" t="inlineStr"/>
      <c r="D85" s="166" t="inlineStr"/>
      <c r="E85" s="166" t="inlineStr"/>
      <c r="F85" s="166" t="inlineStr"/>
    </row>
    <row r="86">
      <c r="A86" s="167" t="inlineStr">
        <is>
          <t>Newsletters enviados</t>
        </is>
      </c>
      <c r="B86" s="168" t="inlineStr">
        <is>
          <t>18 (en 19 semanas)</t>
        </is>
      </c>
      <c r="C86" s="168" t="inlineStr"/>
      <c r="D86" s="168" t="inlineStr"/>
      <c r="E86" s="168" t="inlineStr"/>
      <c r="F86" s="168" t="inlineStr"/>
    </row>
    <row r="87">
      <c r="A87" s="167" t="inlineStr">
        <is>
          <t>Total entregados</t>
        </is>
      </c>
      <c r="B87" s="168" t="inlineStr">
        <is>
          <t>243,359</t>
        </is>
      </c>
      <c r="C87" s="168" t="inlineStr"/>
      <c r="D87" s="168" t="inlineStr"/>
      <c r="E87" s="168" t="inlineStr"/>
      <c r="F87" s="168" t="inlineStr"/>
    </row>
    <row r="88">
      <c r="A88" s="167" t="inlineStr">
        <is>
          <t>Promedio por boletín</t>
        </is>
      </c>
      <c r="B88" s="168" t="inlineStr">
        <is>
          <t>13,520</t>
        </is>
      </c>
      <c r="C88" s="168" t="inlineStr"/>
      <c r="D88" s="168" t="inlineStr"/>
      <c r="E88" s="168" t="inlineStr"/>
      <c r="F88" s="168" t="inlineStr"/>
    </row>
    <row r="89">
      <c r="A89" s="167" t="inlineStr">
        <is>
          <t>Tasa apertura</t>
        </is>
      </c>
      <c r="B89" s="168" t="inlineStr">
        <is>
          <t>28.8% (rango 25.2% – 32.1%)</t>
        </is>
      </c>
      <c r="C89" s="168" t="inlineStr"/>
      <c r="D89" s="168" t="inlineStr"/>
      <c r="E89" s="168" t="inlineStr"/>
      <c r="F89" s="168" t="inlineStr"/>
    </row>
    <row r="90">
      <c r="A90" s="167" t="inlineStr">
        <is>
          <t>Tasa clics</t>
        </is>
      </c>
      <c r="B90" s="168" t="inlineStr">
        <is>
          <t>1.22% (rango 0.93% – 1.97%)</t>
        </is>
      </c>
      <c r="C90" s="168" t="inlineStr"/>
      <c r="D90" s="168" t="inlineStr"/>
      <c r="E90" s="168" t="inlineStr"/>
      <c r="F90" s="168" t="inlineStr"/>
    </row>
    <row r="91">
      <c r="A91" s="167" t="inlineStr">
        <is>
          <t>CTOR</t>
        </is>
      </c>
      <c r="B91" s="168" t="inlineStr">
        <is>
          <t>4.2% (rango 3.0% – 6.1%)</t>
        </is>
      </c>
      <c r="C91" s="168" t="inlineStr"/>
      <c r="D91" s="168" t="inlineStr"/>
      <c r="E91" s="168" t="inlineStr"/>
      <c r="F91" s="168" t="inlineStr"/>
    </row>
    <row r="93">
      <c r="A93" s="175" t="inlineStr">
        <is>
          <t>⚠ ALERTA: Tasa de apertura en descenso significativo</t>
        </is>
      </c>
    </row>
    <row r="94" ht="90" customHeight="1" s="162">
      <c r="A94" s="165" t="inlineStr">
        <is>
          <t>La tasa de apertura cae -0.32 puntos porcentuales por semana (R²=0.83, p&lt;0.001). De 32.1% en enero a 25.2% en mayo. Los entregados se mantienen estables, por lo que no es problema de entregabilidad. Posibles causas: fatiga de lista, base nueva menos comprometida, cambios en filtros de Gmail/Outlook, o estacionalidad. Si la pendiente se mantiene, la tasa llegaría a ~20% en septiembre.</t>
        </is>
      </c>
    </row>
    <row r="96" ht="20" customHeight="1" s="162">
      <c r="A96" s="164" t="inlineStr">
        <is>
          <t>OBSERVACIONES TRANSVERSALES Y RECOMENDACIONES</t>
        </is>
      </c>
    </row>
    <row r="97" ht="55" customHeight="1" s="162">
      <c r="A97" s="165" t="inlineStr">
        <is>
          <t>1. Volatilidad alta en todas las plataformas refleja un modelo de comunicación basado en eventos (ICR, comunicados, webinars) más que en contenido sostenido. Las métricas semanales individuales tienen mucho ruido; promedios mensuales/trimestrales son más informativos.</t>
        </is>
      </c>
    </row>
    <row r="98" ht="55" customHeight="1" s="162">
      <c r="A98" s="165" t="inlineStr">
        <is>
          <t>2. Instagram y TikTok son los motores de crecimiento. Twitter mantiene calidad de engagement pero no crece — evaluar si la inversión de tiempo allí es proporcional a su valor estratégico actual.</t>
        </is>
      </c>
    </row>
    <row r="99" ht="55" customHeight="1" s="162">
      <c r="A99" s="165" t="inlineStr">
        <is>
          <t>3. El newsletter es el activo con mayor riesgo: alcanza 13.5k personas semanalmente pero su efectividad cae. Limpieza de lista, segmentación y A/B testing en asuntos son palancas obvias.</t>
        </is>
      </c>
    </row>
    <row r="100" ht="55" customHeight="1" s="162">
      <c r="A100" s="165" t="inlineStr">
        <is>
          <t>4. Meta de alcance de Twitter (350k/mes) parece desproporcionada al canal — promedio real ~318k y crecimiento de followers nulo. Considerar ajustar la meta o invertir en el canal.</t>
        </is>
      </c>
    </row>
    <row r="101" ht="55" customHeight="1" s="162">
      <c r="A101" s="165" t="inlineStr">
        <is>
          <t>5. Meta de TikTok (+3,000 followers) requiere ritmo más agresivo del actual (+52/sem real vs +57.7/sem necesario). Alcanzable pero necesita atención.</t>
        </is>
      </c>
    </row>
    <row r="102" ht="55" customHeight="1" s="162">
      <c r="A102" s="165" t="inlineStr">
        <is>
          <t>6. La captura semanal sistemática los lunes (a partir de mayo) permitirá análisis más limpio: todas las campañas se medirán con el mismo offset temporal.</t>
        </is>
      </c>
    </row>
  </sheetData>
  <mergeCells count="34">
    <mergeCell ref="A41:F41"/>
    <mergeCell ref="A99:F99"/>
    <mergeCell ref="A84:F84"/>
    <mergeCell ref="B16:F16"/>
    <mergeCell ref="A74:F74"/>
    <mergeCell ref="A3:F3"/>
    <mergeCell ref="A21:F21"/>
    <mergeCell ref="A101:F101"/>
    <mergeCell ref="B18:F18"/>
    <mergeCell ref="A42:F42"/>
    <mergeCell ref="A76:F76"/>
    <mergeCell ref="A14:F14"/>
    <mergeCell ref="A22:F22"/>
    <mergeCell ref="A97:F97"/>
    <mergeCell ref="A4:F4"/>
    <mergeCell ref="A100:F100"/>
    <mergeCell ref="A96:F96"/>
    <mergeCell ref="B17:F17"/>
    <mergeCell ref="A43:F43"/>
    <mergeCell ref="A52:F52"/>
    <mergeCell ref="A93:F93"/>
    <mergeCell ref="A68:F68"/>
    <mergeCell ref="A102:F102"/>
    <mergeCell ref="B19:F19"/>
    <mergeCell ref="A31:F31"/>
    <mergeCell ref="A30:F30"/>
    <mergeCell ref="A39:F39"/>
    <mergeCell ref="A82:F82"/>
    <mergeCell ref="A98:F98"/>
    <mergeCell ref="B15:F15"/>
    <mergeCell ref="A1:F1"/>
    <mergeCell ref="A94:F94"/>
    <mergeCell ref="A61:F61"/>
    <mergeCell ref="A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M99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37.25" customWidth="1" style="162" min="1" max="1"/>
    <col width="24.25" customWidth="1" style="162" min="2" max="2"/>
    <col width="20.88" customWidth="1" style="162" min="4" max="4"/>
    <col width="21.88" customWidth="1" style="162" min="6" max="6"/>
    <col width="21.88" customWidth="1" style="162" min="8" max="8"/>
    <col width="22.13" customWidth="1" style="162" min="10" max="10"/>
    <col width="22.38" customWidth="1" style="162" min="12" max="12"/>
    <col width="23.38" customWidth="1" style="162" min="14" max="14"/>
    <col width="24.25" customWidth="1" style="162" min="16" max="16"/>
    <col width="22.5" customWidth="1" style="162" min="18" max="18"/>
    <col width="20.75" customWidth="1" style="162" min="20" max="20"/>
    <col width="21.63" customWidth="1" style="162" min="22" max="22"/>
    <col width="22.63" customWidth="1" style="162" min="24" max="24"/>
    <col width="22.63" customWidth="1" style="162" min="26" max="26"/>
    <col width="21.75" customWidth="1" style="162" min="27" max="39"/>
  </cols>
  <sheetData>
    <row r="1">
      <c r="A1" s="4" t="n"/>
      <c r="B1" s="3" t="inlineStr">
        <is>
          <t>29 de diciembre al 4 de enero</t>
        </is>
      </c>
      <c r="C1" s="4" t="inlineStr">
        <is>
          <t>Diferencia</t>
        </is>
      </c>
      <c r="D1" s="3" t="inlineStr">
        <is>
          <t>5 de enero al 11 de enero</t>
        </is>
      </c>
      <c r="E1" s="4" t="inlineStr">
        <is>
          <t>Diferencia</t>
        </is>
      </c>
      <c r="F1" s="3" t="inlineStr">
        <is>
          <t>12 de enero al 18 de enero</t>
        </is>
      </c>
      <c r="G1" s="4" t="inlineStr">
        <is>
          <t>Diferencia</t>
        </is>
      </c>
      <c r="H1" s="3" t="inlineStr">
        <is>
          <t>19 de enero al 25 de enero</t>
        </is>
      </c>
      <c r="I1" s="4" t="inlineStr">
        <is>
          <t>Diferencia</t>
        </is>
      </c>
      <c r="J1" s="3" t="inlineStr">
        <is>
          <t>26 de enero al 1 de febrero</t>
        </is>
      </c>
      <c r="K1" s="4" t="inlineStr">
        <is>
          <t>Diferencia</t>
        </is>
      </c>
      <c r="L1" s="3" t="inlineStr">
        <is>
          <t>2 de febrero al 8 de febrero</t>
        </is>
      </c>
      <c r="M1" s="4" t="inlineStr">
        <is>
          <t>Diferencia</t>
        </is>
      </c>
      <c r="N1" s="3" t="inlineStr">
        <is>
          <t>9 de febrero al 15 de febrero</t>
        </is>
      </c>
      <c r="O1" s="4" t="inlineStr">
        <is>
          <t>Diferencia</t>
        </is>
      </c>
      <c r="P1" s="3" t="inlineStr">
        <is>
          <t>16 de febrero al 22 de febrero</t>
        </is>
      </c>
      <c r="Q1" s="4" t="inlineStr">
        <is>
          <t>Diferencia</t>
        </is>
      </c>
      <c r="R1" s="3" t="inlineStr">
        <is>
          <t>23 de febrero al 1 de marzo</t>
        </is>
      </c>
      <c r="S1" s="4" t="inlineStr">
        <is>
          <t>Diferencia</t>
        </is>
      </c>
      <c r="T1" s="3" t="inlineStr">
        <is>
          <t>2 de marzo al 8 de marzo</t>
        </is>
      </c>
      <c r="U1" s="4" t="inlineStr">
        <is>
          <t>Diferencia</t>
        </is>
      </c>
      <c r="V1" s="3" t="inlineStr">
        <is>
          <t>9 de marzo al 15 de marzo</t>
        </is>
      </c>
      <c r="W1" s="4" t="inlineStr">
        <is>
          <t>Diferencia</t>
        </is>
      </c>
      <c r="X1" s="3" t="inlineStr">
        <is>
          <t>16 de marzo al 22 de marzo</t>
        </is>
      </c>
      <c r="Y1" s="4" t="inlineStr">
        <is>
          <t>Diferencia</t>
        </is>
      </c>
      <c r="Z1" s="3" t="inlineStr">
        <is>
          <t>23 de marzo al 29 de marzo</t>
        </is>
      </c>
      <c r="AA1" s="4" t="inlineStr">
        <is>
          <t>Diferencia</t>
        </is>
      </c>
      <c r="AB1" s="3" t="inlineStr">
        <is>
          <t>30 de marzo al 5 de abril</t>
        </is>
      </c>
      <c r="AC1" s="4" t="inlineStr">
        <is>
          <t>Diferencia</t>
        </is>
      </c>
      <c r="AD1" s="3" t="inlineStr">
        <is>
          <t>6 de abril al 12 de abril</t>
        </is>
      </c>
      <c r="AE1" s="4" t="inlineStr">
        <is>
          <t>Diferencia</t>
        </is>
      </c>
      <c r="AF1" s="3" t="inlineStr">
        <is>
          <t>13 de abril al 19 de abril</t>
        </is>
      </c>
      <c r="AG1" s="4" t="inlineStr">
        <is>
          <t>Diferencia</t>
        </is>
      </c>
      <c r="AH1" s="3" t="inlineStr">
        <is>
          <t>20 al 26 de abril</t>
        </is>
      </c>
      <c r="AI1" s="3" t="n"/>
      <c r="AJ1" s="3" t="inlineStr">
        <is>
          <t>27 de abril al 3 de mayo</t>
        </is>
      </c>
      <c r="AK1" s="3" t="inlineStr">
        <is>
          <t>Diferencia</t>
        </is>
      </c>
      <c r="AL1" s="5" t="inlineStr">
        <is>
          <t>4 al 10 de mayo</t>
        </is>
      </c>
      <c r="AM1" s="59" t="inlineStr">
        <is>
          <t>Diferencia</t>
        </is>
      </c>
    </row>
    <row r="2">
      <c r="A2" s="7" t="inlineStr">
        <is>
          <t>Facebook</t>
        </is>
      </c>
      <c r="B2" s="8" t="n"/>
      <c r="C2" s="8" t="n"/>
      <c r="D2" s="8" t="n"/>
      <c r="E2" s="9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10" t="n"/>
      <c r="AM2" s="11" t="n"/>
    </row>
    <row r="3">
      <c r="A3" s="4" t="inlineStr">
        <is>
          <t>Núm de seguidores</t>
        </is>
      </c>
      <c r="B3" s="15" t="n">
        <v>135044</v>
      </c>
      <c r="C3" s="43" t="n">
        <v>249</v>
      </c>
      <c r="D3" s="15" t="n">
        <v>135168</v>
      </c>
      <c r="E3" s="15">
        <f>D3-B3</f>
        <v/>
      </c>
      <c r="F3" s="15" t="n">
        <v>135217</v>
      </c>
      <c r="G3" s="15">
        <f>F3-D3</f>
        <v/>
      </c>
      <c r="H3" s="14" t="n">
        <v>135588</v>
      </c>
      <c r="I3" s="15">
        <f>H3-F3</f>
        <v/>
      </c>
      <c r="J3" s="14" t="n">
        <v>135812</v>
      </c>
      <c r="K3" s="15">
        <f>J3-H3</f>
        <v/>
      </c>
      <c r="L3" s="14" t="n">
        <v>135863</v>
      </c>
      <c r="M3" s="15">
        <f>L3-J3</f>
        <v/>
      </c>
      <c r="N3" s="14" t="n">
        <v>136063</v>
      </c>
      <c r="O3" s="15">
        <f>N3-L3</f>
        <v/>
      </c>
      <c r="P3" s="14" t="n">
        <v>136180</v>
      </c>
      <c r="Q3" s="15">
        <f>P3-N3</f>
        <v/>
      </c>
      <c r="R3" s="14" t="n">
        <v>136255</v>
      </c>
      <c r="S3" s="15">
        <f>R3-P3</f>
        <v/>
      </c>
      <c r="T3" s="14" t="n">
        <v>136653</v>
      </c>
      <c r="U3" s="15">
        <f>T3-R3</f>
        <v/>
      </c>
      <c r="V3" s="14" t="n">
        <v>136725</v>
      </c>
      <c r="W3" s="15">
        <f>V3-T3</f>
        <v/>
      </c>
      <c r="X3" s="14" t="n">
        <v>136950</v>
      </c>
      <c r="Y3" s="15">
        <f>X3-V3</f>
        <v/>
      </c>
      <c r="Z3" s="14" t="n">
        <v>137686</v>
      </c>
      <c r="AA3" s="15">
        <f>Z3-X3</f>
        <v/>
      </c>
      <c r="AB3" s="15" t="n">
        <v>137734</v>
      </c>
      <c r="AC3" s="15">
        <f>AB3-Z3</f>
        <v/>
      </c>
      <c r="AD3" s="15" t="n">
        <v>137784</v>
      </c>
      <c r="AE3" s="15">
        <f>AD3-AB3</f>
        <v/>
      </c>
      <c r="AF3" s="15" t="n">
        <v>137822</v>
      </c>
      <c r="AG3" s="15">
        <f>AF3-AD3</f>
        <v/>
      </c>
      <c r="AH3" s="15" t="n">
        <v>137793</v>
      </c>
      <c r="AI3" s="15">
        <f>AH3-AF3</f>
        <v/>
      </c>
      <c r="AJ3" s="15" t="n">
        <v>137821</v>
      </c>
      <c r="AK3" s="15">
        <f>AJ3-AH3</f>
        <v/>
      </c>
      <c r="AL3" s="16" t="n">
        <v>138225</v>
      </c>
      <c r="AM3" s="15">
        <f>AL3-AJ3</f>
        <v/>
      </c>
    </row>
    <row r="4">
      <c r="A4" s="4" t="inlineStr">
        <is>
          <t>Impresiones (views)</t>
        </is>
      </c>
      <c r="B4" s="15" t="n">
        <v>125807</v>
      </c>
      <c r="C4" s="15" t="n">
        <v>-65182</v>
      </c>
      <c r="D4" s="15" t="n">
        <v>91614</v>
      </c>
      <c r="E4" s="15">
        <f>D4-B4</f>
        <v/>
      </c>
      <c r="F4" s="15" t="n">
        <v>41882</v>
      </c>
      <c r="G4" s="15">
        <f>F4-D4</f>
        <v/>
      </c>
      <c r="H4" s="14" t="n">
        <v>238168</v>
      </c>
      <c r="I4" s="15">
        <f>H4-F4</f>
        <v/>
      </c>
      <c r="J4" s="14" t="n">
        <v>80697</v>
      </c>
      <c r="K4" s="15">
        <f>J4-H4</f>
        <v/>
      </c>
      <c r="L4" s="14" t="n">
        <v>55740</v>
      </c>
      <c r="M4" s="15">
        <f>L4-J4</f>
        <v/>
      </c>
      <c r="N4" s="14" t="n">
        <v>127520</v>
      </c>
      <c r="O4" s="15">
        <f>N4-L4</f>
        <v/>
      </c>
      <c r="P4" s="14" t="n">
        <v>93163</v>
      </c>
      <c r="Q4" s="15">
        <f>P4-N4</f>
        <v/>
      </c>
      <c r="R4" s="14" t="n">
        <v>124223</v>
      </c>
      <c r="S4" s="15">
        <f>R4-P4</f>
        <v/>
      </c>
      <c r="T4" s="14" t="n">
        <v>353056</v>
      </c>
      <c r="U4" s="15">
        <f>T4-R4</f>
        <v/>
      </c>
      <c r="V4" s="14" t="n">
        <v>93926</v>
      </c>
      <c r="W4" s="15">
        <f>V4-T4</f>
        <v/>
      </c>
      <c r="X4" s="14" t="n">
        <v>201646</v>
      </c>
      <c r="Y4" s="15">
        <f>X4-V4</f>
        <v/>
      </c>
      <c r="Z4" s="14" t="n">
        <v>264288</v>
      </c>
      <c r="AA4" s="15">
        <f>Z4-X4</f>
        <v/>
      </c>
      <c r="AB4" s="15" t="n">
        <v>57131</v>
      </c>
      <c r="AC4" s="15">
        <f>AB4-Z4</f>
        <v/>
      </c>
      <c r="AD4" s="15" t="n">
        <v>79850</v>
      </c>
      <c r="AE4" s="15">
        <f>AD4-AB4</f>
        <v/>
      </c>
      <c r="AF4" s="15" t="n">
        <v>77429</v>
      </c>
      <c r="AG4" s="15">
        <f>AF4-AD4</f>
        <v/>
      </c>
      <c r="AH4" s="15" t="n">
        <v>25010</v>
      </c>
      <c r="AI4" s="15">
        <f>AH4-AF4</f>
        <v/>
      </c>
      <c r="AJ4" s="15" t="n">
        <v>40884</v>
      </c>
      <c r="AK4" s="15">
        <f>AJ4-AH4</f>
        <v/>
      </c>
      <c r="AL4" s="17" t="n">
        <v>331203</v>
      </c>
      <c r="AM4" s="15">
        <f>AL4-AJ4</f>
        <v/>
      </c>
    </row>
    <row r="5">
      <c r="A5" s="4" t="inlineStr">
        <is>
          <t>Interacciones (Reactions, comments and shares)</t>
        </is>
      </c>
      <c r="B5" s="15" t="n">
        <v>1381</v>
      </c>
      <c r="C5" s="15" t="n">
        <v>-549</v>
      </c>
      <c r="D5" s="15" t="n">
        <v>1734</v>
      </c>
      <c r="E5" s="15">
        <f>D5-B5</f>
        <v/>
      </c>
      <c r="F5" s="43" t="n">
        <v>942</v>
      </c>
      <c r="G5" s="15">
        <f>F5-D5</f>
        <v/>
      </c>
      <c r="H5" s="14" t="n">
        <v>4466</v>
      </c>
      <c r="I5" s="15">
        <f>H5-F5</f>
        <v/>
      </c>
      <c r="J5" s="14" t="n">
        <v>1730</v>
      </c>
      <c r="K5" s="15">
        <f>J5-H5</f>
        <v/>
      </c>
      <c r="L5" s="14" t="n">
        <v>1220</v>
      </c>
      <c r="M5" s="15">
        <f>L5-J5</f>
        <v/>
      </c>
      <c r="N5" s="14" t="n">
        <v>2853</v>
      </c>
      <c r="O5" s="15">
        <f>N5-L5</f>
        <v/>
      </c>
      <c r="P5" s="14" t="n">
        <v>1908</v>
      </c>
      <c r="Q5" s="15">
        <f>P5-N5</f>
        <v/>
      </c>
      <c r="R5" s="14" t="n">
        <v>2329</v>
      </c>
      <c r="S5" s="15">
        <f>R5-P5</f>
        <v/>
      </c>
      <c r="T5" s="14" t="n">
        <v>9247</v>
      </c>
      <c r="U5" s="15">
        <f>T5-R5</f>
        <v/>
      </c>
      <c r="V5" s="14" t="n">
        <v>2359</v>
      </c>
      <c r="W5" s="15">
        <f>V5-T5</f>
        <v/>
      </c>
      <c r="X5" s="14" t="n">
        <v>3889</v>
      </c>
      <c r="Y5" s="15">
        <f>X5-V5</f>
        <v/>
      </c>
      <c r="Z5" s="14" t="n">
        <v>5556</v>
      </c>
      <c r="AA5" s="15">
        <f>Z5-X5</f>
        <v/>
      </c>
      <c r="AB5" s="15" t="n">
        <v>1544</v>
      </c>
      <c r="AC5" s="15">
        <f>AB5-Z5</f>
        <v/>
      </c>
      <c r="AD5" s="15" t="n">
        <v>1954</v>
      </c>
      <c r="AE5" s="15">
        <f>AD5-AB5</f>
        <v/>
      </c>
      <c r="AF5" s="15" t="n">
        <v>1842</v>
      </c>
      <c r="AG5" s="15">
        <f>AF5-AD5</f>
        <v/>
      </c>
      <c r="AH5" s="15" t="n">
        <v>433</v>
      </c>
      <c r="AI5" s="15">
        <f>AH5-AF5</f>
        <v/>
      </c>
      <c r="AJ5" s="15" t="n">
        <v>963</v>
      </c>
      <c r="AK5" s="15">
        <f>AJ5-AH5</f>
        <v/>
      </c>
      <c r="AL5" s="18" t="n">
        <v>7851</v>
      </c>
      <c r="AM5" s="15">
        <f>AL5-AJ5</f>
        <v/>
      </c>
    </row>
    <row r="6">
      <c r="A6" s="19" t="inlineStr">
        <is>
          <t>Engagement rate (rango de entre 3% y 5%)</t>
        </is>
      </c>
      <c r="B6" s="79">
        <f>B5/B4</f>
        <v/>
      </c>
      <c r="C6" s="4" t="n"/>
      <c r="D6" s="79">
        <f>D5/D4</f>
        <v/>
      </c>
      <c r="E6" s="4" t="n"/>
      <c r="F6" s="79">
        <f>F5/F4</f>
        <v/>
      </c>
      <c r="G6" s="4" t="n"/>
      <c r="H6" s="79">
        <f>H5/H4</f>
        <v/>
      </c>
      <c r="I6" s="4" t="n"/>
      <c r="J6" s="79">
        <f>J5/J4</f>
        <v/>
      </c>
      <c r="K6" s="4" t="n"/>
      <c r="L6" s="79">
        <f>L5/L4</f>
        <v/>
      </c>
      <c r="M6" s="4" t="n"/>
      <c r="N6" s="79">
        <f>N5/N4</f>
        <v/>
      </c>
      <c r="O6" s="4" t="n"/>
      <c r="P6" s="79">
        <f>P5/P4</f>
        <v/>
      </c>
      <c r="Q6" s="4" t="n"/>
      <c r="R6" s="79">
        <f>R5/R4</f>
        <v/>
      </c>
      <c r="S6" s="4" t="n"/>
      <c r="T6" s="79">
        <f>T5/T4</f>
        <v/>
      </c>
      <c r="U6" s="4" t="n"/>
      <c r="V6" s="79">
        <f>V5/V4</f>
        <v/>
      </c>
      <c r="W6" s="4" t="n"/>
      <c r="X6" s="79">
        <f>X5/X4</f>
        <v/>
      </c>
      <c r="Y6" s="4" t="n"/>
      <c r="Z6" s="79">
        <f>Z5/Z4</f>
        <v/>
      </c>
      <c r="AA6" s="4" t="n"/>
      <c r="AB6" s="79">
        <f>AB5/AB4</f>
        <v/>
      </c>
      <c r="AC6" s="4" t="n"/>
      <c r="AD6" s="79">
        <f>AD5/AD4</f>
        <v/>
      </c>
      <c r="AE6" s="4" t="n"/>
      <c r="AF6" s="79">
        <f>AF5/AF4</f>
        <v/>
      </c>
      <c r="AG6" s="79" t="n"/>
      <c r="AH6" s="79">
        <f>AH5/AH4</f>
        <v/>
      </c>
      <c r="AI6" s="4" t="n"/>
      <c r="AJ6" s="79">
        <f>AJ5/AJ4</f>
        <v/>
      </c>
      <c r="AK6" s="4" t="n"/>
      <c r="AL6" s="21">
        <f>AL5/AL4</f>
        <v/>
      </c>
      <c r="AM6" s="43" t="n"/>
    </row>
    <row r="7">
      <c r="A7" s="7" t="inlineStr">
        <is>
          <t>Twitter</t>
        </is>
      </c>
      <c r="B7" s="8" t="n"/>
      <c r="C7" s="8" t="n"/>
      <c r="D7" s="8" t="n"/>
      <c r="E7" s="9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10" t="n"/>
      <c r="AM7" s="11" t="n"/>
    </row>
    <row r="8">
      <c r="A8" s="4" t="inlineStr">
        <is>
          <t>Followers totales</t>
        </is>
      </c>
      <c r="B8" s="15" t="n">
        <v>145071</v>
      </c>
      <c r="C8" s="15" t="n">
        <v>41</v>
      </c>
      <c r="D8" s="15" t="n">
        <v>145148</v>
      </c>
      <c r="E8" s="15">
        <f>D8-B8</f>
        <v/>
      </c>
      <c r="F8" s="15" t="n">
        <v>145164</v>
      </c>
      <c r="G8" s="15">
        <f>F8-D8</f>
        <v/>
      </c>
      <c r="H8" s="14" t="n">
        <v>145202</v>
      </c>
      <c r="I8" s="15">
        <f>H8-F8</f>
        <v/>
      </c>
      <c r="J8" s="14" t="n">
        <v>145194</v>
      </c>
      <c r="K8" s="15">
        <f>J8-H8</f>
        <v/>
      </c>
      <c r="L8" s="14" t="n">
        <v>145220</v>
      </c>
      <c r="M8" s="15">
        <f>L8-J8</f>
        <v/>
      </c>
      <c r="N8" s="14" t="n">
        <v>145238</v>
      </c>
      <c r="O8" s="15">
        <f>N8-L8</f>
        <v/>
      </c>
      <c r="P8" s="14" t="n">
        <v>145281</v>
      </c>
      <c r="Q8" s="15">
        <f>P8-N8</f>
        <v/>
      </c>
      <c r="R8" s="14" t="n">
        <v>145319</v>
      </c>
      <c r="S8" s="15">
        <f>R8-P8</f>
        <v/>
      </c>
      <c r="T8" s="14" t="n">
        <v>145433</v>
      </c>
      <c r="U8" s="15">
        <f>T8-R8</f>
        <v/>
      </c>
      <c r="V8" s="14" t="n">
        <v>145448</v>
      </c>
      <c r="W8" s="15">
        <f>V8-T8</f>
        <v/>
      </c>
      <c r="X8" s="14" t="n">
        <v>145555</v>
      </c>
      <c r="Y8" s="15">
        <f>X8-V8</f>
        <v/>
      </c>
      <c r="Z8" s="14" t="n">
        <v>145652</v>
      </c>
      <c r="AA8" s="15">
        <f>Z8-X8</f>
        <v/>
      </c>
      <c r="AB8" s="15" t="n">
        <v>145588</v>
      </c>
      <c r="AC8" s="15">
        <f>AB8-Z8</f>
        <v/>
      </c>
      <c r="AD8" s="15" t="n">
        <v>145429</v>
      </c>
      <c r="AE8" s="15">
        <f>AD8-AB8</f>
        <v/>
      </c>
      <c r="AF8" s="15" t="n">
        <v>145622</v>
      </c>
      <c r="AG8" s="15">
        <f>AF8-AD8</f>
        <v/>
      </c>
      <c r="AH8" s="15" t="n">
        <v>145762</v>
      </c>
      <c r="AI8" s="15">
        <f>AH8-AF8</f>
        <v/>
      </c>
      <c r="AJ8" s="15" t="n">
        <v>145761</v>
      </c>
      <c r="AK8" s="15">
        <f>AJ8-AH8</f>
        <v/>
      </c>
      <c r="AL8" s="16" t="n">
        <v>145896</v>
      </c>
      <c r="AM8" s="15">
        <f>AL8-AJ8</f>
        <v/>
      </c>
    </row>
    <row r="9">
      <c r="A9" s="4" t="inlineStr">
        <is>
          <t xml:space="preserve">Impresiones </t>
        </is>
      </c>
      <c r="B9" s="15" t="n">
        <v>49544</v>
      </c>
      <c r="C9" s="15" t="n">
        <v>10734</v>
      </c>
      <c r="D9" s="15" t="n">
        <v>46674</v>
      </c>
      <c r="E9" s="15">
        <f>D9-B9</f>
        <v/>
      </c>
      <c r="F9" s="15" t="n">
        <v>93643</v>
      </c>
      <c r="G9" s="15">
        <f>F9-D9</f>
        <v/>
      </c>
      <c r="H9" s="14" t="n">
        <v>96158</v>
      </c>
      <c r="I9" s="15">
        <f>H9-F9</f>
        <v/>
      </c>
      <c r="J9" s="14" t="n">
        <v>61328</v>
      </c>
      <c r="K9" s="15">
        <f>J9-H9</f>
        <v/>
      </c>
      <c r="L9" s="14" t="n">
        <v>43309</v>
      </c>
      <c r="M9" s="15">
        <f>L9-J9</f>
        <v/>
      </c>
      <c r="N9" s="14" t="n">
        <v>32979</v>
      </c>
      <c r="O9" s="15">
        <f>N9-L9</f>
        <v/>
      </c>
      <c r="P9" s="14" t="n">
        <v>41114</v>
      </c>
      <c r="Q9" s="15">
        <f>P9-N9</f>
        <v/>
      </c>
      <c r="R9" s="14" t="n">
        <v>68041</v>
      </c>
      <c r="S9" s="15">
        <f>R9-P9</f>
        <v/>
      </c>
      <c r="T9" s="14" t="n">
        <v>109402</v>
      </c>
      <c r="U9" s="15">
        <f>T9-R9</f>
        <v/>
      </c>
      <c r="V9" s="14" t="n">
        <v>42066</v>
      </c>
      <c r="W9" s="15">
        <f>V9-T9</f>
        <v/>
      </c>
      <c r="X9" s="14" t="n">
        <v>184851</v>
      </c>
      <c r="Y9" s="15">
        <f>X9-V9</f>
        <v/>
      </c>
      <c r="Z9" s="14" t="n">
        <v>108050</v>
      </c>
      <c r="AA9" s="15">
        <f>Z9-X9</f>
        <v/>
      </c>
      <c r="AB9" s="15" t="n">
        <v>49993</v>
      </c>
      <c r="AC9" s="15">
        <f>AB9-Z9</f>
        <v/>
      </c>
      <c r="AD9" s="15" t="n">
        <v>44739</v>
      </c>
      <c r="AE9" s="15">
        <f>AD9-AB9</f>
        <v/>
      </c>
      <c r="AF9" s="15" t="n">
        <v>47285</v>
      </c>
      <c r="AG9" s="15">
        <f>AF9-AD9</f>
        <v/>
      </c>
      <c r="AH9" s="15" t="n">
        <v>57772</v>
      </c>
      <c r="AI9" s="15">
        <f>AH9-AF9</f>
        <v/>
      </c>
      <c r="AJ9" s="15" t="n">
        <v>48530</v>
      </c>
      <c r="AK9" s="15">
        <f>AJ9-AH9</f>
        <v/>
      </c>
      <c r="AL9" s="17" t="n">
        <v>245044</v>
      </c>
      <c r="AM9" s="15">
        <f>AL9-AJ9</f>
        <v/>
      </c>
    </row>
    <row r="10">
      <c r="A10" s="22" t="inlineStr">
        <is>
          <t>Interacciones (Likes, shares and follows)</t>
        </is>
      </c>
      <c r="B10" s="15" t="n">
        <v>5393</v>
      </c>
      <c r="C10" s="15" t="n">
        <v>2282</v>
      </c>
      <c r="D10" s="15" t="n">
        <v>4648</v>
      </c>
      <c r="E10" s="15">
        <f>D10-B10</f>
        <v/>
      </c>
      <c r="F10" s="15" t="n">
        <v>3967</v>
      </c>
      <c r="G10" s="15">
        <f>F10-D10</f>
        <v/>
      </c>
      <c r="H10" s="14" t="n">
        <v>4103</v>
      </c>
      <c r="I10" s="15">
        <f>H10-F10</f>
        <v/>
      </c>
      <c r="J10" s="14" t="n">
        <v>4460</v>
      </c>
      <c r="K10" s="15">
        <f>J10-H10</f>
        <v/>
      </c>
      <c r="L10" s="14" t="n">
        <v>3500</v>
      </c>
      <c r="M10" s="15">
        <f>L10-J10</f>
        <v/>
      </c>
      <c r="N10" s="14" t="n">
        <v>2915</v>
      </c>
      <c r="O10" s="15">
        <f>N10-L10</f>
        <v/>
      </c>
      <c r="P10" s="14" t="n">
        <v>3491</v>
      </c>
      <c r="Q10" s="15">
        <f>P10-N10</f>
        <v/>
      </c>
      <c r="R10" s="14" t="n">
        <v>4941</v>
      </c>
      <c r="S10" s="15">
        <f>R10-P10</f>
        <v/>
      </c>
      <c r="T10" s="14" t="n">
        <v>8284</v>
      </c>
      <c r="U10" s="15">
        <f>T10-R10</f>
        <v/>
      </c>
      <c r="V10" s="14" t="n">
        <v>2857</v>
      </c>
      <c r="W10" s="15">
        <f>V10-T10</f>
        <v/>
      </c>
      <c r="X10" s="14" t="n">
        <v>9737</v>
      </c>
      <c r="Y10" s="15">
        <f>X10-V10</f>
        <v/>
      </c>
      <c r="Z10" s="14" t="n">
        <v>6540</v>
      </c>
      <c r="AA10" s="15">
        <f>Z10-X10</f>
        <v/>
      </c>
      <c r="AB10" s="15" t="n">
        <v>3614</v>
      </c>
      <c r="AC10" s="15">
        <f>AB10-Z10</f>
        <v/>
      </c>
      <c r="AD10" s="15" t="n">
        <v>3995</v>
      </c>
      <c r="AE10" s="15">
        <f>AD10-AB10</f>
        <v/>
      </c>
      <c r="AF10" s="15" t="n">
        <v>4697</v>
      </c>
      <c r="AG10" s="15">
        <f>AF10-AD10</f>
        <v/>
      </c>
      <c r="AH10" s="15" t="n">
        <v>4269</v>
      </c>
      <c r="AI10" s="15">
        <f>AH10-AF10</f>
        <v/>
      </c>
      <c r="AJ10" s="15" t="n">
        <v>2525</v>
      </c>
      <c r="AK10" s="15">
        <f>AJ10-AH10</f>
        <v/>
      </c>
      <c r="AL10" s="18" t="n">
        <v>14258</v>
      </c>
      <c r="AM10" s="15">
        <f>AL10-AJ10</f>
        <v/>
      </c>
    </row>
    <row r="11">
      <c r="A11" s="19" t="inlineStr">
        <is>
          <t>Engagement rate (rango de entre 3% y 5%)</t>
        </is>
      </c>
      <c r="B11" s="79">
        <f>B10/B9</f>
        <v/>
      </c>
      <c r="C11" s="23" t="n"/>
      <c r="D11" s="79">
        <f>D10/D9</f>
        <v/>
      </c>
      <c r="E11" s="23" t="n"/>
      <c r="F11" s="79">
        <f>F10/F9</f>
        <v/>
      </c>
      <c r="G11" s="4" t="n"/>
      <c r="H11" s="79">
        <f>H10/H9</f>
        <v/>
      </c>
      <c r="I11" s="4" t="n"/>
      <c r="J11" s="79">
        <f>J10/J9</f>
        <v/>
      </c>
      <c r="K11" s="4" t="n"/>
      <c r="L11" s="79">
        <f>L10/L9</f>
        <v/>
      </c>
      <c r="M11" s="4" t="n"/>
      <c r="N11" s="79">
        <f>N10/N9</f>
        <v/>
      </c>
      <c r="O11" s="4" t="n"/>
      <c r="P11" s="79">
        <f>P10/P9</f>
        <v/>
      </c>
      <c r="Q11" s="4" t="n"/>
      <c r="R11" s="79">
        <f>R10/R9</f>
        <v/>
      </c>
      <c r="S11" s="4" t="n"/>
      <c r="T11" s="79">
        <f>T10/T9</f>
        <v/>
      </c>
      <c r="U11" s="4" t="n"/>
      <c r="V11" s="79">
        <f>V10/V9</f>
        <v/>
      </c>
      <c r="W11" s="4" t="n"/>
      <c r="X11" s="79">
        <f>X10/X9</f>
        <v/>
      </c>
      <c r="Y11" s="4" t="n"/>
      <c r="Z11" s="79">
        <f>Z10/Z9</f>
        <v/>
      </c>
      <c r="AA11" s="4" t="n"/>
      <c r="AB11" s="79">
        <f>AB10/AB9</f>
        <v/>
      </c>
      <c r="AC11" s="4" t="n"/>
      <c r="AD11" s="79">
        <f>AD10/AD9</f>
        <v/>
      </c>
      <c r="AE11" s="4" t="n"/>
      <c r="AF11" s="79">
        <f>AF10/AF9</f>
        <v/>
      </c>
      <c r="AG11" s="79" t="n"/>
      <c r="AH11" s="79">
        <f>AH10/AH9</f>
        <v/>
      </c>
      <c r="AI11" s="79" t="n"/>
      <c r="AJ11" s="79">
        <f>AJ10/AJ9</f>
        <v/>
      </c>
      <c r="AK11" s="79" t="n"/>
      <c r="AL11" s="21">
        <f>AL10/AL9</f>
        <v/>
      </c>
      <c r="AM11" s="24" t="n"/>
    </row>
    <row r="12">
      <c r="A12" s="7" t="inlineStr">
        <is>
          <t>Instagram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10" t="n"/>
      <c r="AM12" s="11" t="n"/>
    </row>
    <row r="13">
      <c r="A13" s="4" t="inlineStr">
        <is>
          <t>Número de followers</t>
        </is>
      </c>
      <c r="B13" s="15" t="n">
        <v>14409</v>
      </c>
      <c r="C13" s="15" t="n">
        <v>35</v>
      </c>
      <c r="D13" s="15" t="n">
        <v>14710</v>
      </c>
      <c r="E13" s="15">
        <f>D13-B13</f>
        <v/>
      </c>
      <c r="F13" s="15" t="n">
        <v>14875</v>
      </c>
      <c r="G13" s="15">
        <f>F13-D13</f>
        <v/>
      </c>
      <c r="H13" s="14" t="n">
        <v>14969</v>
      </c>
      <c r="I13" s="15">
        <f>H13-F13</f>
        <v/>
      </c>
      <c r="J13" s="14" t="n">
        <v>15056</v>
      </c>
      <c r="K13" s="15">
        <f>J13-H13</f>
        <v/>
      </c>
      <c r="L13" s="14" t="n">
        <v>15150</v>
      </c>
      <c r="M13" s="15">
        <f>L13-J13</f>
        <v/>
      </c>
      <c r="N13" s="14" t="n">
        <v>15270</v>
      </c>
      <c r="O13" s="15">
        <f>N13-L13</f>
        <v/>
      </c>
      <c r="P13" s="14" t="n">
        <v>15361</v>
      </c>
      <c r="Q13" s="15">
        <f>P13-N13</f>
        <v/>
      </c>
      <c r="R13" s="14" t="n">
        <v>15486</v>
      </c>
      <c r="S13" s="15">
        <f>R13-P13</f>
        <v/>
      </c>
      <c r="T13" s="14" t="n">
        <v>16445</v>
      </c>
      <c r="U13" s="15">
        <f>T13-R13</f>
        <v/>
      </c>
      <c r="V13" s="14" t="n">
        <v>16516</v>
      </c>
      <c r="W13" s="15">
        <f>V13-T13</f>
        <v/>
      </c>
      <c r="X13" s="14" t="n">
        <v>16842</v>
      </c>
      <c r="Y13" s="15">
        <f>X13-V13</f>
        <v/>
      </c>
      <c r="Z13" s="14" t="n">
        <v>17241</v>
      </c>
      <c r="AA13" s="15">
        <f>Z13-X13</f>
        <v/>
      </c>
      <c r="AB13" s="15" t="n">
        <v>17385</v>
      </c>
      <c r="AC13" s="15">
        <f>AB13-Z13</f>
        <v/>
      </c>
      <c r="AD13" s="15" t="n">
        <v>17513</v>
      </c>
      <c r="AE13" s="15">
        <f>AD13-AB13</f>
        <v/>
      </c>
      <c r="AF13" s="15" t="n">
        <v>17573</v>
      </c>
      <c r="AG13" s="15">
        <f>AF13-AD13</f>
        <v/>
      </c>
      <c r="AH13" s="15" t="n">
        <v>17623</v>
      </c>
      <c r="AI13" s="15">
        <f>AH13-AF13</f>
        <v/>
      </c>
      <c r="AJ13" s="15" t="n">
        <v>17707</v>
      </c>
      <c r="AK13" s="15">
        <f>AJ13-AH13</f>
        <v/>
      </c>
      <c r="AL13" s="16" t="n">
        <v>17904</v>
      </c>
      <c r="AM13" s="15">
        <f>AL13-AJ13</f>
        <v/>
      </c>
    </row>
    <row r="14">
      <c r="A14" s="4" t="inlineStr">
        <is>
          <t>Impresiones (views)</t>
        </is>
      </c>
      <c r="B14" s="15" t="n">
        <v>10748</v>
      </c>
      <c r="C14" s="15" t="n">
        <v>-48102</v>
      </c>
      <c r="D14" s="15" t="n">
        <v>42403</v>
      </c>
      <c r="E14" s="15">
        <f>D14-B14</f>
        <v/>
      </c>
      <c r="F14" s="15" t="n">
        <v>19891</v>
      </c>
      <c r="G14" s="15">
        <f>F14-D14</f>
        <v/>
      </c>
      <c r="H14" s="14" t="n">
        <v>18656</v>
      </c>
      <c r="I14" s="15">
        <f>H14-F14</f>
        <v/>
      </c>
      <c r="J14" s="14" t="n">
        <v>25455</v>
      </c>
      <c r="K14" s="15">
        <f>J14-H14</f>
        <v/>
      </c>
      <c r="L14" s="14" t="n">
        <v>28393</v>
      </c>
      <c r="M14" s="15">
        <f>L14-J14</f>
        <v/>
      </c>
      <c r="N14" s="14" t="n">
        <v>40103</v>
      </c>
      <c r="O14" s="15">
        <f>N14-L14</f>
        <v/>
      </c>
      <c r="P14" s="14" t="n">
        <v>31788</v>
      </c>
      <c r="Q14" s="15">
        <f>P14-N14</f>
        <v/>
      </c>
      <c r="R14" s="14" t="n">
        <v>42293</v>
      </c>
      <c r="S14" s="15">
        <f>R14-P14</f>
        <v/>
      </c>
      <c r="T14" s="14" t="n">
        <v>583905</v>
      </c>
      <c r="U14" s="15">
        <f>T14-R14</f>
        <v/>
      </c>
      <c r="V14" s="14" t="n">
        <v>42066</v>
      </c>
      <c r="W14" s="15">
        <f>V14-T14</f>
        <v/>
      </c>
      <c r="X14" s="14" t="n">
        <v>38725</v>
      </c>
      <c r="Y14" s="15">
        <f>X14-V14</f>
        <v/>
      </c>
      <c r="Z14" s="14" t="n">
        <v>66299</v>
      </c>
      <c r="AA14" s="15">
        <f>Z14-X14</f>
        <v/>
      </c>
      <c r="AB14" s="15" t="n">
        <v>33696</v>
      </c>
      <c r="AC14" s="15">
        <f>AB14-Z14</f>
        <v/>
      </c>
      <c r="AD14" s="15" t="n">
        <v>36622</v>
      </c>
      <c r="AE14" s="15">
        <f>AD14-AB14</f>
        <v/>
      </c>
      <c r="AF14" s="15" t="n">
        <v>28699</v>
      </c>
      <c r="AG14" s="15">
        <f>AF14-AD14</f>
        <v/>
      </c>
      <c r="AH14" s="15" t="n">
        <v>26288</v>
      </c>
      <c r="AI14" s="15">
        <f>AH14-AF14</f>
        <v/>
      </c>
      <c r="AJ14" s="15" t="n">
        <v>33424</v>
      </c>
      <c r="AK14" s="15">
        <f>AJ14-AH14</f>
        <v/>
      </c>
      <c r="AL14" s="17" t="n">
        <v>118478</v>
      </c>
      <c r="AM14" s="15">
        <f>AL14-AJ14</f>
        <v/>
      </c>
    </row>
    <row r="15">
      <c r="A15" s="4" t="inlineStr">
        <is>
          <t>Reel (views)</t>
        </is>
      </c>
      <c r="B15" s="15" t="n">
        <v>2966</v>
      </c>
      <c r="C15" s="15" t="n">
        <v>-2177</v>
      </c>
      <c r="D15" s="15" t="n">
        <v>13674</v>
      </c>
      <c r="E15" s="15">
        <f>D15-B15</f>
        <v/>
      </c>
      <c r="F15" s="15" t="n">
        <v>6744</v>
      </c>
      <c r="G15" s="15">
        <f>F15-D15</f>
        <v/>
      </c>
      <c r="H15" s="14" t="n">
        <v>8399</v>
      </c>
      <c r="I15" s="15">
        <f>H15-F15</f>
        <v/>
      </c>
      <c r="J15" s="14" t="n">
        <v>11963</v>
      </c>
      <c r="K15" s="15">
        <f>J15-H15</f>
        <v/>
      </c>
      <c r="L15" s="14" t="n">
        <v>10950</v>
      </c>
      <c r="M15" s="15">
        <f>L15-J15</f>
        <v/>
      </c>
      <c r="N15" s="4" t="n">
        <v>916</v>
      </c>
      <c r="O15" s="15">
        <f>N15-L15</f>
        <v/>
      </c>
      <c r="P15" s="14" t="n">
        <v>12008</v>
      </c>
      <c r="Q15" s="15">
        <f>P15-N15</f>
        <v/>
      </c>
      <c r="R15" s="14" t="n">
        <v>4924</v>
      </c>
      <c r="S15" s="15">
        <f>R15-P15</f>
        <v/>
      </c>
      <c r="T15" s="14" t="n">
        <v>29757</v>
      </c>
      <c r="U15" s="15">
        <f>T15-R15</f>
        <v/>
      </c>
      <c r="V15" s="14" t="n">
        <v>7703</v>
      </c>
      <c r="W15" s="15">
        <f>V15-T15</f>
        <v/>
      </c>
      <c r="X15" s="14" t="n">
        <v>11158</v>
      </c>
      <c r="Y15" s="15">
        <f>X15-V15</f>
        <v/>
      </c>
      <c r="Z15" s="14" t="n">
        <v>54522</v>
      </c>
      <c r="AA15" s="15">
        <f>Z15-X15</f>
        <v/>
      </c>
      <c r="AB15" s="15" t="n">
        <v>5039</v>
      </c>
      <c r="AC15" s="15">
        <f>AB15-Z15</f>
        <v/>
      </c>
      <c r="AD15" s="15" t="n">
        <v>20557</v>
      </c>
      <c r="AE15" s="15">
        <f>AD15-AB15</f>
        <v/>
      </c>
      <c r="AF15" s="26" t="n">
        <v>13455</v>
      </c>
      <c r="AG15" s="15">
        <f>AF15-AD15</f>
        <v/>
      </c>
      <c r="AH15" s="26" t="n">
        <v>12157</v>
      </c>
      <c r="AI15" s="15">
        <f>AH15-AF15</f>
        <v/>
      </c>
      <c r="AJ15" s="26" t="n"/>
      <c r="AK15" s="15">
        <f>AJ15-AH15</f>
        <v/>
      </c>
      <c r="AL15" s="27" t="n">
        <v>24662</v>
      </c>
      <c r="AM15" s="15">
        <f>AL15-AJ15</f>
        <v/>
      </c>
    </row>
    <row r="16">
      <c r="A16" s="4" t="inlineStr">
        <is>
          <t>Interacciones totales (likes)</t>
        </is>
      </c>
      <c r="B16" s="43" t="n">
        <v>250</v>
      </c>
      <c r="C16" s="43" t="n">
        <v>-435</v>
      </c>
      <c r="D16" s="15" t="n">
        <v>1281</v>
      </c>
      <c r="E16" s="15">
        <f>D16-B16</f>
        <v/>
      </c>
      <c r="F16" s="43" t="n">
        <v>568</v>
      </c>
      <c r="G16" s="15">
        <f>F16-D16</f>
        <v/>
      </c>
      <c r="H16" s="4" t="n">
        <v>378</v>
      </c>
      <c r="I16" s="15">
        <f>H16-F16</f>
        <v/>
      </c>
      <c r="J16" s="4" t="n">
        <v>711</v>
      </c>
      <c r="K16" s="15">
        <f>J16-H16</f>
        <v/>
      </c>
      <c r="L16" s="4" t="n">
        <v>682</v>
      </c>
      <c r="M16" s="15">
        <f>L16-J16</f>
        <v/>
      </c>
      <c r="N16" s="4" t="n">
        <v>980</v>
      </c>
      <c r="O16" s="15">
        <f>N16-L16</f>
        <v/>
      </c>
      <c r="P16" s="4" t="n">
        <v>876</v>
      </c>
      <c r="Q16" s="15">
        <f>P16-N16</f>
        <v/>
      </c>
      <c r="R16" s="4" t="n">
        <v>682</v>
      </c>
      <c r="S16" s="15">
        <f>R16-P16</f>
        <v/>
      </c>
      <c r="T16" s="14" t="n">
        <v>12688</v>
      </c>
      <c r="U16" s="15">
        <f>T16-R16</f>
        <v/>
      </c>
      <c r="V16" s="14" t="n">
        <v>1356</v>
      </c>
      <c r="W16" s="15">
        <f>V16-T16</f>
        <v/>
      </c>
      <c r="X16" s="4" t="n">
        <v>978</v>
      </c>
      <c r="Y16" s="15">
        <f>X16-V16</f>
        <v/>
      </c>
      <c r="Z16" s="14" t="n">
        <v>2459</v>
      </c>
      <c r="AA16" s="15">
        <f>Z16-X16</f>
        <v/>
      </c>
      <c r="AB16" s="15" t="n">
        <v>890</v>
      </c>
      <c r="AC16" s="15">
        <f>AB16-Z16</f>
        <v/>
      </c>
      <c r="AD16" s="15" t="n">
        <v>1259</v>
      </c>
      <c r="AE16" s="15">
        <f>AD16-AB16</f>
        <v/>
      </c>
      <c r="AF16" s="15" t="n">
        <v>651</v>
      </c>
      <c r="AG16" s="15">
        <f>AF16-AD16</f>
        <v/>
      </c>
      <c r="AH16" s="15" t="n">
        <v>675</v>
      </c>
      <c r="AI16" s="15">
        <f>AH16-AF16</f>
        <v/>
      </c>
      <c r="AJ16" s="15" t="n">
        <v>1120</v>
      </c>
      <c r="AK16" s="15">
        <f>AJ16-AH16</f>
        <v/>
      </c>
      <c r="AL16" s="18" t="n">
        <v>3394</v>
      </c>
      <c r="AM16" s="15">
        <f>AL16-AJ16</f>
        <v/>
      </c>
    </row>
    <row r="17">
      <c r="A17" s="19" t="inlineStr">
        <is>
          <t>Engagement rate (rango de entre 3% y 5%)</t>
        </is>
      </c>
      <c r="B17" s="28">
        <f>(B16/B14)*100</f>
        <v/>
      </c>
      <c r="C17" s="4" t="n"/>
      <c r="D17" s="28">
        <f>(D16/D14)*100</f>
        <v/>
      </c>
      <c r="E17" s="4" t="n"/>
      <c r="F17" s="28">
        <f>(F16/F14)*100</f>
        <v/>
      </c>
      <c r="G17" s="4" t="n"/>
      <c r="H17" s="28">
        <f>(H16/H14)*100</f>
        <v/>
      </c>
      <c r="I17" s="4" t="n"/>
      <c r="J17" s="28">
        <f>(J16/J14)*100</f>
        <v/>
      </c>
      <c r="K17" s="4" t="n"/>
      <c r="L17" s="28">
        <f>(L16/L14)*100</f>
        <v/>
      </c>
      <c r="M17" s="4" t="n"/>
      <c r="N17" s="28">
        <f>(N16/N14)*100</f>
        <v/>
      </c>
      <c r="O17" s="4" t="n"/>
      <c r="P17" s="28">
        <f>(P16/P14)*100</f>
        <v/>
      </c>
      <c r="Q17" s="4" t="n"/>
      <c r="R17" s="28">
        <f>(R16/R14)*100</f>
        <v/>
      </c>
      <c r="S17" s="4" t="n"/>
      <c r="T17" s="28">
        <f>(T16/T14)*100</f>
        <v/>
      </c>
      <c r="U17" s="4" t="n"/>
      <c r="V17" s="28">
        <f>(V16/V14)*100</f>
        <v/>
      </c>
      <c r="W17" s="4" t="n"/>
      <c r="X17" s="28">
        <f>(X16/X14)*100</f>
        <v/>
      </c>
      <c r="Y17" s="4" t="n"/>
      <c r="Z17" s="28">
        <f>(Z16/Z14)*100</f>
        <v/>
      </c>
      <c r="AA17" s="4" t="n"/>
      <c r="AB17" s="28">
        <f>(AB16/AB14)*100</f>
        <v/>
      </c>
      <c r="AC17" s="4" t="n"/>
      <c r="AD17" s="28">
        <f>(AD16/AD14)*100</f>
        <v/>
      </c>
      <c r="AE17" s="4" t="n"/>
      <c r="AF17" s="28">
        <f>(AF16/AF14)*100</f>
        <v/>
      </c>
      <c r="AG17" s="4" t="n"/>
      <c r="AH17" s="28">
        <f>(AH16/AH14)*100</f>
        <v/>
      </c>
      <c r="AI17" s="4" t="n"/>
      <c r="AJ17" s="29">
        <f>(AJ16/AJ14)</f>
        <v/>
      </c>
      <c r="AK17" s="4" t="n"/>
      <c r="AL17" s="21">
        <f>(AL16/AL14)</f>
        <v/>
      </c>
      <c r="AM17" s="43" t="n"/>
    </row>
    <row r="18">
      <c r="A18" s="52" t="inlineStr">
        <is>
          <t>LinkedIn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10" t="n"/>
      <c r="AM18" s="11" t="n"/>
    </row>
    <row r="19">
      <c r="A19" s="4" t="inlineStr">
        <is>
          <t>Total de seguidores</t>
        </is>
      </c>
      <c r="B19" s="15" t="n">
        <v>21760</v>
      </c>
      <c r="C19" s="15" t="n">
        <v>107</v>
      </c>
      <c r="D19" s="15" t="n">
        <v>21888</v>
      </c>
      <c r="E19" s="15">
        <f>D19-B19</f>
        <v/>
      </c>
      <c r="F19" s="15" t="n">
        <v>21978</v>
      </c>
      <c r="G19" s="15">
        <f>F19-D19</f>
        <v/>
      </c>
      <c r="H19" s="14" t="n">
        <v>22032</v>
      </c>
      <c r="I19" s="15">
        <f>H19-F19</f>
        <v/>
      </c>
      <c r="J19" s="14" t="n">
        <v>22094</v>
      </c>
      <c r="K19" s="15">
        <f>J19-H19</f>
        <v/>
      </c>
      <c r="L19" s="14" t="n">
        <v>22156</v>
      </c>
      <c r="M19" s="15">
        <f>L19-J19</f>
        <v/>
      </c>
      <c r="N19" s="14" t="n">
        <v>22233</v>
      </c>
      <c r="O19" s="15">
        <f>N19-L19</f>
        <v/>
      </c>
      <c r="P19" s="14" t="n">
        <v>22301</v>
      </c>
      <c r="Q19" s="15">
        <f>P19-N19</f>
        <v/>
      </c>
      <c r="R19" s="14" t="n">
        <v>22435</v>
      </c>
      <c r="S19" s="15">
        <f>R19-P19</f>
        <v/>
      </c>
      <c r="T19" s="14" t="n">
        <v>22682</v>
      </c>
      <c r="U19" s="15">
        <f>T19-R19</f>
        <v/>
      </c>
      <c r="V19" s="14" t="n">
        <v>22820</v>
      </c>
      <c r="W19" s="15">
        <f>V19-T19</f>
        <v/>
      </c>
      <c r="X19" s="14" t="n">
        <v>23042</v>
      </c>
      <c r="Y19" s="15">
        <f>X19-V19</f>
        <v/>
      </c>
      <c r="Z19" s="14" t="n">
        <v>23173</v>
      </c>
      <c r="AA19" s="15">
        <f>Z19-X19</f>
        <v/>
      </c>
      <c r="AB19" s="15" t="n">
        <v>23323</v>
      </c>
      <c r="AC19" s="15">
        <f>AB19-Z19</f>
        <v/>
      </c>
      <c r="AD19" s="15" t="n">
        <v>23445</v>
      </c>
      <c r="AE19" s="15">
        <f>AD19-AB19</f>
        <v/>
      </c>
      <c r="AF19" s="31" t="n">
        <v>23555</v>
      </c>
      <c r="AG19" s="15">
        <f>AF19-AD19</f>
        <v/>
      </c>
      <c r="AH19" s="15" t="n">
        <v>23675</v>
      </c>
      <c r="AI19" s="15">
        <f>AH19-AF19</f>
        <v/>
      </c>
      <c r="AJ19" s="15" t="n">
        <v>23788</v>
      </c>
      <c r="AK19" s="15">
        <f>AJ19-AH19</f>
        <v/>
      </c>
      <c r="AL19" s="16" t="n">
        <v>23954</v>
      </c>
      <c r="AM19" s="15">
        <f>AL19-AJ19</f>
        <v/>
      </c>
    </row>
    <row r="20">
      <c r="A20" s="4" t="inlineStr">
        <is>
          <t>Impresiones totales</t>
        </is>
      </c>
      <c r="B20" s="15" t="n">
        <v>25464</v>
      </c>
      <c r="C20" s="15" t="n">
        <v>14265</v>
      </c>
      <c r="D20" s="15" t="n">
        <v>35697</v>
      </c>
      <c r="E20" s="15">
        <f>D20-B20</f>
        <v/>
      </c>
      <c r="F20" s="15" t="n">
        <v>13956</v>
      </c>
      <c r="G20" s="15">
        <f>F20-D20</f>
        <v/>
      </c>
      <c r="H20" s="14" t="n">
        <v>16759</v>
      </c>
      <c r="I20" s="15">
        <f>H20-F20</f>
        <v/>
      </c>
      <c r="J20" s="14" t="n">
        <v>16835</v>
      </c>
      <c r="K20" s="15">
        <f>J20-H20</f>
        <v/>
      </c>
      <c r="L20" s="14" t="n">
        <v>12224</v>
      </c>
      <c r="M20" s="15">
        <f>L20-J20</f>
        <v/>
      </c>
      <c r="N20" s="14" t="n">
        <v>21713</v>
      </c>
      <c r="O20" s="15">
        <f>N20-L20</f>
        <v/>
      </c>
      <c r="P20" s="14" t="n">
        <v>18812</v>
      </c>
      <c r="Q20" s="15">
        <f>P20-N20</f>
        <v/>
      </c>
      <c r="R20" s="14" t="n">
        <v>106703</v>
      </c>
      <c r="S20" s="15">
        <f>R20-P20</f>
        <v/>
      </c>
      <c r="T20" s="14" t="n">
        <v>46766</v>
      </c>
      <c r="U20" s="15">
        <f>T20-R20</f>
        <v/>
      </c>
      <c r="V20" s="14" t="n">
        <v>38220</v>
      </c>
      <c r="W20" s="15">
        <f>V20-T20</f>
        <v/>
      </c>
      <c r="X20" s="14" t="n">
        <v>23526</v>
      </c>
      <c r="Y20" s="15">
        <f>X20-V20</f>
        <v/>
      </c>
      <c r="Z20" s="14" t="n">
        <v>26014</v>
      </c>
      <c r="AA20" s="15">
        <f>Z20-X20</f>
        <v/>
      </c>
      <c r="AB20" s="15" t="n">
        <v>30872</v>
      </c>
      <c r="AC20" s="15">
        <f>AB20-Z20</f>
        <v/>
      </c>
      <c r="AD20" s="15" t="n">
        <v>27924</v>
      </c>
      <c r="AE20" s="15">
        <f>AD20-AB20</f>
        <v/>
      </c>
      <c r="AF20" s="26" t="n">
        <v>18843</v>
      </c>
      <c r="AG20" s="15">
        <f>AF20-AD20</f>
        <v/>
      </c>
      <c r="AH20" s="15" t="n">
        <v>25546</v>
      </c>
      <c r="AI20" s="15">
        <f>AH20-AF20</f>
        <v/>
      </c>
      <c r="AJ20" s="15" t="n">
        <v>10287</v>
      </c>
      <c r="AK20" s="15">
        <f>AJ20-AH20</f>
        <v/>
      </c>
      <c r="AL20" s="32" t="n">
        <v>29495</v>
      </c>
      <c r="AM20" s="15">
        <f>AL20-AJ20</f>
        <v/>
      </c>
    </row>
    <row r="21" ht="18" customHeight="1" s="162">
      <c r="A21" s="33" t="inlineStr">
        <is>
          <t>Reacciones totales</t>
        </is>
      </c>
      <c r="B21" s="38" t="n">
        <v>365</v>
      </c>
      <c r="C21" s="38" t="n">
        <v>209</v>
      </c>
      <c r="D21" s="38" t="n">
        <v>494</v>
      </c>
      <c r="E21" s="38">
        <f>D21-B21</f>
        <v/>
      </c>
      <c r="F21" s="38" t="n">
        <v>239</v>
      </c>
      <c r="G21" s="38">
        <f>F21-D21</f>
        <v/>
      </c>
      <c r="H21" s="35" t="n">
        <v>270</v>
      </c>
      <c r="I21" s="38">
        <f>H21-F21</f>
        <v/>
      </c>
      <c r="J21" s="35" t="n">
        <v>245</v>
      </c>
      <c r="K21" s="38">
        <f>J21-H21</f>
        <v/>
      </c>
      <c r="L21" s="35" t="n">
        <v>227</v>
      </c>
      <c r="M21" s="38">
        <f>L21-J21</f>
        <v/>
      </c>
      <c r="N21" s="35" t="n">
        <v>557</v>
      </c>
      <c r="O21" s="38">
        <f>N21-L21</f>
        <v/>
      </c>
      <c r="P21" s="35" t="n">
        <v>361</v>
      </c>
      <c r="Q21" s="38">
        <f>P21-N21</f>
        <v/>
      </c>
      <c r="R21" s="36" t="n">
        <v>1809</v>
      </c>
      <c r="S21" s="40">
        <f>R21-P21</f>
        <v/>
      </c>
      <c r="T21" s="36" t="n">
        <v>1004</v>
      </c>
      <c r="U21" s="40">
        <f>T21-R21</f>
        <v/>
      </c>
      <c r="V21" s="35" t="n">
        <v>803</v>
      </c>
      <c r="W21" s="40">
        <f>V21-T21</f>
        <v/>
      </c>
      <c r="X21" s="35" t="n">
        <v>435</v>
      </c>
      <c r="Y21" s="38">
        <f>X21-V21</f>
        <v/>
      </c>
      <c r="Z21" s="35" t="n">
        <v>508</v>
      </c>
      <c r="AA21" s="38">
        <f>Z21-X21</f>
        <v/>
      </c>
      <c r="AB21" s="38" t="n">
        <v>652</v>
      </c>
      <c r="AC21" s="38">
        <f>AB21-Z21</f>
        <v/>
      </c>
      <c r="AD21" s="38" t="n">
        <v>370</v>
      </c>
      <c r="AE21" s="38">
        <f>AD21-AB21</f>
        <v/>
      </c>
      <c r="AF21" s="39" t="n">
        <v>286</v>
      </c>
      <c r="AG21" s="40">
        <f>AF21-AD21</f>
        <v/>
      </c>
      <c r="AH21" s="40" t="n">
        <v>448</v>
      </c>
      <c r="AI21" s="40">
        <f>AH21-AF21</f>
        <v/>
      </c>
      <c r="AJ21" s="40" t="n">
        <v>344</v>
      </c>
      <c r="AK21" s="40">
        <f>AJ21-AH21</f>
        <v/>
      </c>
      <c r="AL21" s="41" t="n">
        <v>747</v>
      </c>
      <c r="AM21" s="40">
        <f>AL21-AJ21</f>
        <v/>
      </c>
    </row>
    <row r="22">
      <c r="A22" s="3" t="inlineStr">
        <is>
          <t>Engagement rate (rango de entre 3% y 5%)</t>
        </is>
      </c>
      <c r="B22" s="42">
        <f>B21/B20</f>
        <v/>
      </c>
      <c r="C22" s="4" t="n"/>
      <c r="D22" s="42">
        <f>D21/D20</f>
        <v/>
      </c>
      <c r="E22" s="4" t="n"/>
      <c r="F22" s="42">
        <f>F21/F20</f>
        <v/>
      </c>
      <c r="G22" s="4" t="n"/>
      <c r="H22" s="42">
        <f>H21/H20</f>
        <v/>
      </c>
      <c r="I22" s="4" t="n"/>
      <c r="J22" s="42">
        <f>J21/J20</f>
        <v/>
      </c>
      <c r="K22" s="4" t="n"/>
      <c r="L22" s="42">
        <f>L21/L20</f>
        <v/>
      </c>
      <c r="M22" s="4" t="n"/>
      <c r="N22" s="42">
        <f>N21/N20</f>
        <v/>
      </c>
      <c r="O22" s="4" t="n"/>
      <c r="P22" s="42">
        <f>P21/P20</f>
        <v/>
      </c>
      <c r="Q22" s="4" t="n"/>
      <c r="R22" s="42">
        <f>R21/R20</f>
        <v/>
      </c>
      <c r="S22" s="4" t="n"/>
      <c r="T22" s="42">
        <f>T21/T20</f>
        <v/>
      </c>
      <c r="U22" s="4" t="n"/>
      <c r="V22" s="42">
        <f>V21/V20</f>
        <v/>
      </c>
      <c r="W22" s="4" t="n"/>
      <c r="X22" s="42">
        <f>X21/X20</f>
        <v/>
      </c>
      <c r="Y22" s="4" t="n"/>
      <c r="Z22" s="42">
        <f>Z21/Z20</f>
        <v/>
      </c>
      <c r="AA22" s="4" t="n"/>
      <c r="AB22" s="42">
        <f>AB21/AB20</f>
        <v/>
      </c>
      <c r="AC22" s="4" t="n"/>
      <c r="AD22" s="42">
        <f>AD21/AD20</f>
        <v/>
      </c>
      <c r="AE22" s="4" t="n"/>
      <c r="AF22" s="42">
        <f>AF21/AF20</f>
        <v/>
      </c>
      <c r="AG22" s="4" t="n"/>
      <c r="AH22" s="42">
        <f>AH21/AH20</f>
        <v/>
      </c>
      <c r="AI22" s="4" t="n"/>
      <c r="AJ22" s="79">
        <f>AJ21/AJ20</f>
        <v/>
      </c>
      <c r="AK22" s="4" t="n"/>
      <c r="AL22" s="21">
        <f>AL21/AL20</f>
        <v/>
      </c>
      <c r="AM22" s="43" t="n"/>
    </row>
    <row r="23">
      <c r="A23" s="52" t="inlineStr">
        <is>
          <t>TikTok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10" t="n"/>
      <c r="AM23" s="11" t="n"/>
    </row>
    <row r="24">
      <c r="A24" s="4" t="inlineStr">
        <is>
          <t>Número de seguidores</t>
        </is>
      </c>
      <c r="B24" s="15" t="n">
        <v>3089</v>
      </c>
      <c r="C24" s="15" t="n">
        <v>17</v>
      </c>
      <c r="D24" s="15" t="n">
        <v>3111</v>
      </c>
      <c r="E24" s="15">
        <f>D24-B24</f>
        <v/>
      </c>
      <c r="F24" s="15" t="n">
        <v>3117</v>
      </c>
      <c r="G24" s="15">
        <f>F24-D24</f>
        <v/>
      </c>
      <c r="H24" s="14" t="n">
        <v>3127</v>
      </c>
      <c r="I24" s="15">
        <f>H24-F24</f>
        <v/>
      </c>
      <c r="J24" s="14" t="n">
        <v>3324</v>
      </c>
      <c r="K24" s="15">
        <f>J24-H24</f>
        <v/>
      </c>
      <c r="L24" s="14" t="n">
        <v>3362</v>
      </c>
      <c r="M24" s="15">
        <f>L24-J24</f>
        <v/>
      </c>
      <c r="N24" s="14" t="n">
        <v>3384</v>
      </c>
      <c r="O24" s="15">
        <f>N24-L24</f>
        <v/>
      </c>
      <c r="P24" s="14" t="n">
        <v>3401</v>
      </c>
      <c r="Q24" s="15">
        <f>P24-N24</f>
        <v/>
      </c>
      <c r="R24" s="14" t="n">
        <v>3412</v>
      </c>
      <c r="S24" s="15">
        <f>R24-P24</f>
        <v/>
      </c>
      <c r="T24" s="14" t="n">
        <v>3594</v>
      </c>
      <c r="U24" s="15">
        <f>T24-R24</f>
        <v/>
      </c>
      <c r="V24" s="14" t="n">
        <v>3603</v>
      </c>
      <c r="W24" s="15">
        <f>V24-T24</f>
        <v/>
      </c>
      <c r="X24" s="14" t="n">
        <v>3625</v>
      </c>
      <c r="Y24" s="15">
        <f>X24-V24</f>
        <v/>
      </c>
      <c r="Z24" s="14" t="n">
        <v>3908</v>
      </c>
      <c r="AA24" s="15">
        <f>Z24-X24</f>
        <v/>
      </c>
      <c r="AB24" s="15" t="n">
        <v>3936</v>
      </c>
      <c r="AC24" s="15">
        <f>AB24-Z24</f>
        <v/>
      </c>
      <c r="AD24" s="15" t="n">
        <v>3992</v>
      </c>
      <c r="AE24" s="15">
        <f>AD24-AB24</f>
        <v/>
      </c>
      <c r="AF24" s="15" t="n">
        <v>4013</v>
      </c>
      <c r="AG24" s="15">
        <f>AF24-AD24</f>
        <v/>
      </c>
      <c r="AH24" s="15" t="n">
        <v>4034</v>
      </c>
      <c r="AI24" s="15">
        <f>AH24-AF24</f>
        <v/>
      </c>
      <c r="AJ24" s="15" t="n">
        <v>4068</v>
      </c>
      <c r="AK24" s="15">
        <f>AJ24-AH24</f>
        <v/>
      </c>
      <c r="AL24" s="16" t="n">
        <v>4073</v>
      </c>
      <c r="AM24" s="15">
        <f>AL24-AJ24</f>
        <v/>
      </c>
    </row>
    <row r="25">
      <c r="A25" s="4" t="inlineStr">
        <is>
          <t>Visualizaciones</t>
        </is>
      </c>
      <c r="B25" s="15" t="n">
        <v>5457</v>
      </c>
      <c r="C25" s="15" t="n">
        <v>-235</v>
      </c>
      <c r="D25" s="15" t="n">
        <v>5579</v>
      </c>
      <c r="E25" s="15">
        <f>D25-B25</f>
        <v/>
      </c>
      <c r="F25" s="15" t="n">
        <v>5397</v>
      </c>
      <c r="G25" s="15">
        <f>F25-D25</f>
        <v/>
      </c>
      <c r="H25" s="14" t="n">
        <v>7832</v>
      </c>
      <c r="I25" s="15">
        <f>H25-F25</f>
        <v/>
      </c>
      <c r="J25" s="14" t="n">
        <v>10712</v>
      </c>
      <c r="K25" s="15">
        <f>J25-H25</f>
        <v/>
      </c>
      <c r="L25" s="14" t="n">
        <v>11672</v>
      </c>
      <c r="M25" s="15">
        <f>L25-J25</f>
        <v/>
      </c>
      <c r="N25" s="14" t="n">
        <v>4076</v>
      </c>
      <c r="O25" s="15">
        <f>N25-L25</f>
        <v/>
      </c>
      <c r="P25" s="14" t="n">
        <v>8178</v>
      </c>
      <c r="Q25" s="15">
        <f>P25-N25</f>
        <v/>
      </c>
      <c r="R25" s="14" t="n">
        <v>6396</v>
      </c>
      <c r="S25" s="15">
        <f>R25-P25</f>
        <v/>
      </c>
      <c r="T25" s="14" t="n">
        <v>55803</v>
      </c>
      <c r="U25" s="15">
        <f>T25-R25</f>
        <v/>
      </c>
      <c r="V25" s="14" t="n">
        <v>11407</v>
      </c>
      <c r="W25" s="15">
        <f>V25-T25</f>
        <v/>
      </c>
      <c r="X25" s="14" t="n">
        <v>6286</v>
      </c>
      <c r="Y25" s="15">
        <f>X25-V25</f>
        <v/>
      </c>
      <c r="Z25" s="14" t="n">
        <v>35906</v>
      </c>
      <c r="AA25" s="15">
        <f>Z25-X25</f>
        <v/>
      </c>
      <c r="AB25" s="15" t="n">
        <v>24639</v>
      </c>
      <c r="AC25" s="15">
        <f>AB25-Z25</f>
        <v/>
      </c>
      <c r="AD25" s="15" t="n">
        <v>11763</v>
      </c>
      <c r="AE25" s="15">
        <f>AD25-AB25</f>
        <v/>
      </c>
      <c r="AF25" s="15" t="n">
        <v>7990</v>
      </c>
      <c r="AG25" s="15">
        <f>AF25-AD25</f>
        <v/>
      </c>
      <c r="AH25" s="15" t="n">
        <v>4742</v>
      </c>
      <c r="AI25" s="15">
        <f>AH25-AF25</f>
        <v/>
      </c>
      <c r="AJ25" s="15" t="n">
        <v>6913</v>
      </c>
      <c r="AK25" s="15">
        <f>AJ25-AH25</f>
        <v/>
      </c>
      <c r="AL25" s="17" t="n">
        <v>4725</v>
      </c>
      <c r="AM25" s="15">
        <f>AL25-AJ25</f>
        <v/>
      </c>
    </row>
    <row r="26">
      <c r="A26" s="4" t="inlineStr">
        <is>
          <t>Me gusta</t>
        </is>
      </c>
      <c r="B26" s="43" t="n">
        <v>157</v>
      </c>
      <c r="C26" s="43" t="n">
        <v>-10</v>
      </c>
      <c r="D26" s="43" t="n">
        <v>138</v>
      </c>
      <c r="E26" s="43">
        <f>D26-B26</f>
        <v/>
      </c>
      <c r="F26" s="43" t="n">
        <v>140</v>
      </c>
      <c r="G26" s="43">
        <f>F26-D26</f>
        <v/>
      </c>
      <c r="H26" s="4" t="n">
        <v>186</v>
      </c>
      <c r="I26" s="43">
        <f>H26-F26</f>
        <v/>
      </c>
      <c r="J26" s="4" t="n">
        <v>397</v>
      </c>
      <c r="K26" s="43">
        <f>J26-H26</f>
        <v/>
      </c>
      <c r="L26" s="4" t="n">
        <v>402</v>
      </c>
      <c r="M26" s="43">
        <f>L26-J26</f>
        <v/>
      </c>
      <c r="N26" s="4" t="n">
        <v>114</v>
      </c>
      <c r="O26" s="43">
        <f>N26-L26</f>
        <v/>
      </c>
      <c r="P26" s="4" t="n">
        <v>305</v>
      </c>
      <c r="Q26" s="43">
        <f>P26-N26</f>
        <v/>
      </c>
      <c r="R26" s="4" t="n">
        <v>195</v>
      </c>
      <c r="S26" s="43">
        <f>R26-P26</f>
        <v/>
      </c>
      <c r="T26" s="14" t="n">
        <v>7084</v>
      </c>
      <c r="U26" s="15">
        <f>T26-R26</f>
        <v/>
      </c>
      <c r="V26" s="4" t="n">
        <v>632</v>
      </c>
      <c r="W26" s="15">
        <f>V26-T26</f>
        <v/>
      </c>
      <c r="X26" s="4" t="n">
        <v>152</v>
      </c>
      <c r="Y26" s="43">
        <f>X26-V26</f>
        <v/>
      </c>
      <c r="Z26" s="14" t="n">
        <v>1273</v>
      </c>
      <c r="AA26" s="15">
        <f>Z26-X26</f>
        <v/>
      </c>
      <c r="AB26" s="43" t="n">
        <v>709</v>
      </c>
      <c r="AC26" s="15">
        <f>AB26-Z26</f>
        <v/>
      </c>
      <c r="AD26" s="43" t="n">
        <v>409</v>
      </c>
      <c r="AE26" s="43">
        <f>AD26-AB26</f>
        <v/>
      </c>
      <c r="AF26" s="43" t="n">
        <v>497</v>
      </c>
      <c r="AG26" s="15">
        <f>AF26-AD26</f>
        <v/>
      </c>
      <c r="AH26" s="15" t="n">
        <v>260</v>
      </c>
      <c r="AI26" s="15">
        <f>AH26-AF26</f>
        <v/>
      </c>
      <c r="AJ26" s="100" t="n">
        <v>264</v>
      </c>
      <c r="AK26" s="15">
        <f>AJ26-AH26</f>
        <v/>
      </c>
      <c r="AL26" s="18" t="n">
        <v>131</v>
      </c>
      <c r="AM26" s="15">
        <f>AL26-AJ26</f>
        <v/>
      </c>
    </row>
    <row r="27">
      <c r="A27" s="3" t="inlineStr">
        <is>
          <t>Engagement rate (rango de entre 3% y 5%)</t>
        </is>
      </c>
      <c r="B27" s="42">
        <f>B26/B25</f>
        <v/>
      </c>
      <c r="C27" s="4" t="n"/>
      <c r="D27" s="42">
        <f>D26/D25</f>
        <v/>
      </c>
      <c r="E27" s="4" t="n"/>
      <c r="F27" s="42">
        <f>F26/F25</f>
        <v/>
      </c>
      <c r="G27" s="4" t="n"/>
      <c r="H27" s="42">
        <f>H26/H25</f>
        <v/>
      </c>
      <c r="I27" s="4" t="n"/>
      <c r="J27" s="42">
        <f>J26/J25</f>
        <v/>
      </c>
      <c r="K27" s="4" t="n"/>
      <c r="L27" s="42">
        <f>L26/L25</f>
        <v/>
      </c>
      <c r="M27" s="4" t="n"/>
      <c r="N27" s="42">
        <f>N26/N25</f>
        <v/>
      </c>
      <c r="O27" s="4" t="n"/>
      <c r="P27" s="42">
        <f>P26/P25</f>
        <v/>
      </c>
      <c r="Q27" s="4" t="n"/>
      <c r="R27" s="42">
        <f>R26/R25</f>
        <v/>
      </c>
      <c r="S27" s="4" t="n"/>
      <c r="T27" s="42">
        <f>T26/T25</f>
        <v/>
      </c>
      <c r="U27" s="4" t="n"/>
      <c r="V27" s="42">
        <f>V26/V25</f>
        <v/>
      </c>
      <c r="W27" s="4" t="n"/>
      <c r="X27" s="42">
        <f>X26/X25</f>
        <v/>
      </c>
      <c r="Y27" s="4" t="n"/>
      <c r="Z27" s="42">
        <f>Z26/Z25</f>
        <v/>
      </c>
      <c r="AA27" s="4" t="n"/>
      <c r="AB27" s="42">
        <f>AB26/AB25</f>
        <v/>
      </c>
      <c r="AC27" s="4" t="n"/>
      <c r="AD27" s="42">
        <f>AD26/AD25</f>
        <v/>
      </c>
      <c r="AE27" s="4" t="n"/>
      <c r="AF27" s="42">
        <f>AF26/AF25</f>
        <v/>
      </c>
      <c r="AG27" s="4" t="n"/>
      <c r="AH27" s="42">
        <f>AH26/AH25</f>
        <v/>
      </c>
      <c r="AI27" s="4" t="n"/>
      <c r="AJ27" s="42">
        <f>AJ26/AJ25</f>
        <v/>
      </c>
      <c r="AK27" s="4" t="n"/>
      <c r="AL27" s="45">
        <f>AL26/AL25</f>
        <v/>
      </c>
      <c r="AM27" s="43" t="n"/>
    </row>
    <row r="28">
      <c r="A28" s="52" t="inlineStr">
        <is>
          <t>Youtube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10" t="n"/>
      <c r="AM28" s="11" t="n"/>
    </row>
    <row r="29">
      <c r="A29" s="46" t="inlineStr">
        <is>
          <t>Suscriptores</t>
        </is>
      </c>
      <c r="B29" s="53" t="n">
        <v>2</v>
      </c>
      <c r="C29" s="48" t="n"/>
      <c r="D29" s="53" t="n">
        <v>0</v>
      </c>
      <c r="E29" s="49" t="n">
        <v>-2</v>
      </c>
      <c r="F29" s="53" t="n">
        <v>1</v>
      </c>
      <c r="G29" s="49" t="n">
        <v>1</v>
      </c>
      <c r="H29" s="53" t="n">
        <v>7</v>
      </c>
      <c r="I29" s="49" t="n">
        <v>6</v>
      </c>
      <c r="J29" s="53" t="n">
        <v>14</v>
      </c>
      <c r="K29" s="49" t="n">
        <v>7</v>
      </c>
      <c r="L29" s="53" t="n">
        <v>3</v>
      </c>
      <c r="M29" s="49" t="n">
        <v>-11</v>
      </c>
      <c r="N29" s="53" t="n">
        <v>8</v>
      </c>
      <c r="O29" s="49" t="n">
        <v>5</v>
      </c>
      <c r="P29" s="53" t="n">
        <v>5</v>
      </c>
      <c r="Q29" s="49" t="n">
        <v>-3</v>
      </c>
      <c r="R29" s="53" t="n">
        <v>6</v>
      </c>
      <c r="S29" s="49" t="n">
        <v>1</v>
      </c>
      <c r="T29" s="53" t="n">
        <v>2</v>
      </c>
      <c r="U29" s="49" t="n">
        <v>-4</v>
      </c>
      <c r="V29" s="53" t="n">
        <v>8</v>
      </c>
      <c r="W29" s="49" t="n">
        <v>6</v>
      </c>
      <c r="X29" s="53" t="n">
        <v>8</v>
      </c>
      <c r="Y29" s="49" t="n">
        <v>0</v>
      </c>
      <c r="Z29" s="53" t="n">
        <v>16</v>
      </c>
      <c r="AA29" s="49" t="n">
        <v>8</v>
      </c>
      <c r="AB29" s="53" t="n">
        <v>16</v>
      </c>
      <c r="AC29" s="49" t="n">
        <v>0</v>
      </c>
      <c r="AD29" s="53" t="n">
        <v>14</v>
      </c>
      <c r="AE29" s="49" t="n">
        <v>-2</v>
      </c>
      <c r="AF29" s="53" t="n">
        <v>4</v>
      </c>
      <c r="AG29" s="49" t="n">
        <v>-10</v>
      </c>
      <c r="AH29" s="53" t="n">
        <v>1</v>
      </c>
      <c r="AI29" s="49" t="n">
        <v>-3</v>
      </c>
      <c r="AJ29" s="53" t="n">
        <v>3</v>
      </c>
      <c r="AK29" s="49" t="n">
        <v>2</v>
      </c>
      <c r="AL29" s="53" t="n">
        <v>6</v>
      </c>
      <c r="AM29" s="49" t="n">
        <v>3</v>
      </c>
    </row>
    <row r="30">
      <c r="A30" s="4" t="inlineStr">
        <is>
          <t>Tiempo de reproducción / horas</t>
        </is>
      </c>
      <c r="B30" s="53" t="n">
        <v>8.4</v>
      </c>
      <c r="C30" s="48" t="n"/>
      <c r="D30" s="53" t="n">
        <v>8.800000000000001</v>
      </c>
      <c r="E30" s="49" t="n">
        <v>0.4</v>
      </c>
      <c r="F30" s="53" t="n">
        <v>15.7</v>
      </c>
      <c r="G30" s="49" t="n">
        <v>6.9</v>
      </c>
      <c r="H30" s="53" t="n">
        <v>21.8</v>
      </c>
      <c r="I30" s="49" t="n">
        <v>6.1</v>
      </c>
      <c r="J30" s="53" t="n">
        <v>81.3</v>
      </c>
      <c r="K30" s="49" t="n">
        <v>59.5</v>
      </c>
      <c r="L30" s="53" t="n">
        <v>13.9</v>
      </c>
      <c r="M30" s="49" t="n">
        <v>-67.40000000000001</v>
      </c>
      <c r="N30" s="53" t="n">
        <v>66.40000000000001</v>
      </c>
      <c r="O30" s="49" t="n">
        <v>52.5</v>
      </c>
      <c r="P30" s="53" t="n">
        <v>37.3</v>
      </c>
      <c r="Q30" s="49" t="n">
        <v>-29.1</v>
      </c>
      <c r="R30" s="53" t="n">
        <v>10.8</v>
      </c>
      <c r="S30" s="49" t="n">
        <v>-26.5</v>
      </c>
      <c r="T30" s="53" t="n">
        <v>14.3</v>
      </c>
      <c r="U30" s="49" t="n">
        <v>3.5</v>
      </c>
      <c r="V30" s="53" t="n">
        <v>66.59999999999999</v>
      </c>
      <c r="W30" s="49" t="n">
        <v>52.3</v>
      </c>
      <c r="X30" s="53" t="n">
        <v>45.1</v>
      </c>
      <c r="Y30" s="49" t="n">
        <v>-21.5</v>
      </c>
      <c r="Z30" s="53" t="n">
        <v>217.1</v>
      </c>
      <c r="AA30" s="49" t="n">
        <v>172</v>
      </c>
      <c r="AB30" s="53" t="n">
        <v>61.2</v>
      </c>
      <c r="AC30" s="49" t="n">
        <v>-155.9</v>
      </c>
      <c r="AD30" s="53" t="n">
        <v>51.3</v>
      </c>
      <c r="AE30" s="49" t="n">
        <v>-9.9</v>
      </c>
      <c r="AF30" s="53" t="n">
        <v>26.5</v>
      </c>
      <c r="AG30" s="49" t="n">
        <v>-24.8</v>
      </c>
      <c r="AH30" s="53" t="n">
        <v>15.6</v>
      </c>
      <c r="AI30" s="49" t="n">
        <v>-10.9</v>
      </c>
      <c r="AJ30" s="53" t="n">
        <v>17.5</v>
      </c>
      <c r="AK30" s="49" t="n">
        <v>1.9</v>
      </c>
      <c r="AL30" s="53" t="n">
        <v>16.9</v>
      </c>
      <c r="AM30" s="49" t="n">
        <v>-0.6</v>
      </c>
    </row>
    <row r="31">
      <c r="A31" s="4" t="inlineStr">
        <is>
          <t>Vistas</t>
        </is>
      </c>
      <c r="B31" s="50" t="n">
        <v>846</v>
      </c>
      <c r="C31" s="51" t="n">
        <v>-1009</v>
      </c>
      <c r="D31" s="50" t="n">
        <v>878</v>
      </c>
      <c r="E31" s="51" t="n">
        <v>32</v>
      </c>
      <c r="F31" s="50" t="n">
        <v>3179</v>
      </c>
      <c r="G31" s="51" t="n">
        <v>2301</v>
      </c>
      <c r="H31" s="50" t="n">
        <v>1548</v>
      </c>
      <c r="I31" s="51" t="n">
        <v>-1631</v>
      </c>
      <c r="J31" s="50" t="n">
        <v>1131</v>
      </c>
      <c r="K31" s="51" t="n">
        <v>-417</v>
      </c>
      <c r="L31" s="50" t="n">
        <v>9276</v>
      </c>
      <c r="M31" s="51" t="n">
        <v>8145</v>
      </c>
      <c r="N31" s="50" t="n">
        <v>4422</v>
      </c>
      <c r="O31" s="51" t="n">
        <v>-4854</v>
      </c>
      <c r="P31" s="50" t="n">
        <v>1061</v>
      </c>
      <c r="Q31" s="51" t="n">
        <v>-3361</v>
      </c>
      <c r="R31" s="50" t="n">
        <v>1408</v>
      </c>
      <c r="S31" s="51" t="n">
        <v>347</v>
      </c>
      <c r="T31" s="50" t="n">
        <v>8209</v>
      </c>
      <c r="U31" s="51" t="n">
        <v>6801</v>
      </c>
      <c r="V31" s="50" t="n">
        <v>2541</v>
      </c>
      <c r="W31" s="51" t="n">
        <v>-5668</v>
      </c>
      <c r="X31" s="50" t="n">
        <v>9481</v>
      </c>
      <c r="Y31" s="51" t="n">
        <v>6940</v>
      </c>
      <c r="Z31" s="50" t="n">
        <v>15092</v>
      </c>
      <c r="AA31" s="51" t="n">
        <v>5611</v>
      </c>
      <c r="AB31" s="50" t="n">
        <v>6555</v>
      </c>
      <c r="AC31" s="51" t="n">
        <v>-8537</v>
      </c>
      <c r="AD31" s="50" t="n">
        <v>2890</v>
      </c>
      <c r="AE31" s="51" t="n">
        <v>-3665</v>
      </c>
      <c r="AF31" s="50" t="n">
        <v>1075</v>
      </c>
      <c r="AG31" s="51" t="n">
        <v>-1815</v>
      </c>
      <c r="AH31" s="50" t="n">
        <v>1003</v>
      </c>
      <c r="AI31" s="51" t="n">
        <v>-72</v>
      </c>
      <c r="AJ31" s="50" t="n">
        <v>2430</v>
      </c>
      <c r="AK31" s="51" t="n">
        <v>1427</v>
      </c>
      <c r="AL31" s="50" t="n">
        <v>575</v>
      </c>
      <c r="AM31" s="51" t="n">
        <v>-1855</v>
      </c>
    </row>
    <row r="32">
      <c r="A32" s="52" t="inlineStr">
        <is>
          <t>Newsletter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10" t="n"/>
      <c r="AM32" s="11" t="n"/>
    </row>
    <row r="33">
      <c r="A33" s="100" t="inlineStr">
        <is>
          <t>Entregados</t>
        </is>
      </c>
      <c r="B33" s="53" t="n"/>
      <c r="C33" s="48" t="n"/>
      <c r="D33" s="53" t="n">
        <v>14037</v>
      </c>
      <c r="E33" s="48" t="n"/>
      <c r="F33" s="53" t="n">
        <v>14031</v>
      </c>
      <c r="G33" s="49" t="n">
        <v>-6</v>
      </c>
      <c r="H33" s="53" t="n">
        <v>13344</v>
      </c>
      <c r="I33" s="49" t="n">
        <v>-687</v>
      </c>
      <c r="J33" s="53" t="n">
        <v>12613</v>
      </c>
      <c r="K33" s="49" t="n">
        <v>-731</v>
      </c>
      <c r="L33" s="53" t="n">
        <v>12509</v>
      </c>
      <c r="M33" s="49" t="n">
        <v>-104</v>
      </c>
      <c r="N33" s="53" t="n">
        <v>13149</v>
      </c>
      <c r="O33" s="49" t="n">
        <v>640</v>
      </c>
      <c r="P33" s="53" t="n">
        <v>12442</v>
      </c>
      <c r="Q33" s="49" t="n">
        <v>-707</v>
      </c>
      <c r="R33" s="53" t="n">
        <v>13816</v>
      </c>
      <c r="S33" s="49" t="n">
        <v>1374</v>
      </c>
      <c r="T33" s="53" t="n">
        <v>13986</v>
      </c>
      <c r="U33" s="49" t="n">
        <v>170</v>
      </c>
      <c r="V33" s="53" t="n">
        <v>13791</v>
      </c>
      <c r="W33" s="49" t="n">
        <v>-195</v>
      </c>
      <c r="X33" s="53" t="n">
        <v>13748</v>
      </c>
      <c r="Y33" s="49" t="n">
        <v>-43</v>
      </c>
      <c r="Z33" s="53" t="n">
        <v>13734</v>
      </c>
      <c r="AA33" s="49" t="n">
        <v>-14</v>
      </c>
      <c r="AB33" s="53" t="n">
        <v>13701</v>
      </c>
      <c r="AC33" s="49" t="n">
        <v>-33</v>
      </c>
      <c r="AD33" s="53" t="n">
        <v>13688</v>
      </c>
      <c r="AE33" s="49" t="n">
        <v>-13</v>
      </c>
      <c r="AF33" s="53" t="n">
        <v>13669</v>
      </c>
      <c r="AG33" s="49" t="n">
        <v>-19</v>
      </c>
      <c r="AH33" s="53" t="n">
        <v>13663</v>
      </c>
      <c r="AI33" s="49" t="n">
        <v>-6</v>
      </c>
      <c r="AJ33" s="53" t="n">
        <v>13731</v>
      </c>
      <c r="AK33" s="49" t="n">
        <v>68</v>
      </c>
      <c r="AL33" s="53" t="n">
        <v>13707</v>
      </c>
      <c r="AM33" s="49" t="n">
        <v>-24</v>
      </c>
    </row>
    <row r="34">
      <c r="A34" s="4" t="inlineStr">
        <is>
          <t>Apertura</t>
        </is>
      </c>
      <c r="B34" s="53" t="n"/>
      <c r="C34" s="48" t="n"/>
      <c r="D34" s="53" t="n">
        <v>4499</v>
      </c>
      <c r="E34" s="48" t="n"/>
      <c r="F34" s="53" t="n">
        <v>4239</v>
      </c>
      <c r="G34" s="49" t="n">
        <v>-260</v>
      </c>
      <c r="H34" s="53" t="n">
        <v>4036</v>
      </c>
      <c r="I34" s="49" t="n">
        <v>-203</v>
      </c>
      <c r="J34" s="53" t="n">
        <v>3729</v>
      </c>
      <c r="K34" s="49" t="n">
        <v>-307</v>
      </c>
      <c r="L34" s="53" t="n">
        <v>3944</v>
      </c>
      <c r="M34" s="49" t="n">
        <v>215</v>
      </c>
      <c r="N34" s="53" t="n">
        <v>3931</v>
      </c>
      <c r="O34" s="49" t="n">
        <v>-13</v>
      </c>
      <c r="P34" s="53" t="n">
        <v>3845</v>
      </c>
      <c r="Q34" s="49" t="n">
        <v>-86</v>
      </c>
      <c r="R34" s="53" t="n">
        <v>4162</v>
      </c>
      <c r="S34" s="49" t="n">
        <v>317</v>
      </c>
      <c r="T34" s="53" t="n">
        <v>4060</v>
      </c>
      <c r="U34" s="49" t="n">
        <v>-102</v>
      </c>
      <c r="V34" s="53" t="n">
        <v>3960</v>
      </c>
      <c r="W34" s="49" t="n">
        <v>-100</v>
      </c>
      <c r="X34" s="53" t="n">
        <v>3818</v>
      </c>
      <c r="Y34" s="49" t="n">
        <v>-142</v>
      </c>
      <c r="Z34" s="53" t="n">
        <v>3839</v>
      </c>
      <c r="AA34" s="49" t="n">
        <v>21</v>
      </c>
      <c r="AB34" s="53" t="n">
        <v>3657</v>
      </c>
      <c r="AC34" s="49" t="n">
        <v>-182</v>
      </c>
      <c r="AD34" s="53" t="n">
        <v>3858</v>
      </c>
      <c r="AE34" s="49" t="n">
        <v>201</v>
      </c>
      <c r="AF34" s="53" t="n">
        <v>3775</v>
      </c>
      <c r="AG34" s="49" t="n">
        <v>-83</v>
      </c>
      <c r="AH34" s="53" t="n">
        <v>3725</v>
      </c>
      <c r="AI34" s="49" t="n">
        <v>-50</v>
      </c>
      <c r="AJ34" s="53" t="n">
        <v>3583</v>
      </c>
      <c r="AK34" s="49" t="n">
        <v>-142</v>
      </c>
      <c r="AL34" s="53" t="n">
        <v>3448</v>
      </c>
      <c r="AM34" s="49" t="n">
        <v>-135</v>
      </c>
    </row>
    <row r="35">
      <c r="A35" s="4" t="inlineStr">
        <is>
          <t>Clics</t>
        </is>
      </c>
      <c r="B35" s="53" t="n"/>
      <c r="C35" s="48" t="n"/>
      <c r="D35" s="53" t="n">
        <v>276</v>
      </c>
      <c r="E35" s="48" t="n"/>
      <c r="F35" s="53" t="n">
        <v>150</v>
      </c>
      <c r="G35" s="49" t="n">
        <v>-126</v>
      </c>
      <c r="H35" s="53" t="n">
        <v>169</v>
      </c>
      <c r="I35" s="49" t="n">
        <v>19</v>
      </c>
      <c r="J35" s="53" t="n">
        <v>167</v>
      </c>
      <c r="K35" s="49" t="n">
        <v>-2</v>
      </c>
      <c r="L35" s="53" t="n">
        <v>145</v>
      </c>
      <c r="M35" s="49" t="n">
        <v>-22</v>
      </c>
      <c r="N35" s="53" t="n">
        <v>126</v>
      </c>
      <c r="O35" s="49" t="n">
        <v>-19</v>
      </c>
      <c r="P35" s="53" t="n">
        <v>116</v>
      </c>
      <c r="Q35" s="49" t="n">
        <v>-10</v>
      </c>
      <c r="R35" s="53" t="n">
        <v>166</v>
      </c>
      <c r="S35" s="49" t="n">
        <v>50</v>
      </c>
      <c r="T35" s="53" t="n">
        <v>171</v>
      </c>
      <c r="U35" s="49" t="n">
        <v>5</v>
      </c>
      <c r="V35" s="53" t="n">
        <v>199</v>
      </c>
      <c r="W35" s="49" t="n">
        <v>28</v>
      </c>
      <c r="X35" s="53" t="n">
        <v>147</v>
      </c>
      <c r="Y35" s="49" t="n">
        <v>-52</v>
      </c>
      <c r="Z35" s="53" t="n">
        <v>163</v>
      </c>
      <c r="AA35" s="49" t="n">
        <v>16</v>
      </c>
      <c r="AB35" s="53" t="n">
        <v>173</v>
      </c>
      <c r="AC35" s="49" t="n">
        <v>10</v>
      </c>
      <c r="AD35" s="53" t="n">
        <v>180</v>
      </c>
      <c r="AE35" s="49" t="n">
        <v>7</v>
      </c>
      <c r="AF35" s="53" t="n">
        <v>173</v>
      </c>
      <c r="AG35" s="49" t="n">
        <v>-7</v>
      </c>
      <c r="AH35" s="53" t="n">
        <v>140</v>
      </c>
      <c r="AI35" s="49" t="n">
        <v>-33</v>
      </c>
      <c r="AJ35" s="53" t="n">
        <v>167</v>
      </c>
      <c r="AK35" s="49" t="n">
        <v>27</v>
      </c>
      <c r="AL35" s="53" t="n">
        <v>150</v>
      </c>
      <c r="AM35" s="49" t="n">
        <v>-17</v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54" t="n"/>
      <c r="AM36" s="43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54" t="n"/>
      <c r="AM37" s="4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54" t="n"/>
      <c r="AM38" s="43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54" t="n"/>
      <c r="AM39" s="43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54" t="n"/>
      <c r="AM40" s="43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54" t="n"/>
      <c r="AM41" s="4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54" t="n"/>
      <c r="AM42" s="43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54" t="n"/>
      <c r="AM43" s="43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54" t="n"/>
      <c r="AM44" s="43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54" t="n"/>
      <c r="AM45" s="4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54" t="n"/>
      <c r="AM46" s="43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54" t="n"/>
      <c r="AM47" s="43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54" t="n"/>
      <c r="AM48" s="43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54" t="n"/>
      <c r="AM49" s="43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54" t="n"/>
      <c r="AM50" s="43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54" t="n"/>
      <c r="AM51" s="43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54" t="n"/>
      <c r="AM52" s="43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54" t="n"/>
      <c r="AM53" s="43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54" t="n"/>
      <c r="AM54" s="43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54" t="n"/>
      <c r="AM55" s="43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54" t="n"/>
      <c r="AM56" s="43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54" t="n"/>
      <c r="AM57" s="43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54" t="n"/>
      <c r="AM58" s="43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54" t="n"/>
      <c r="AM59" s="43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54" t="n"/>
      <c r="AM60" s="43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54" t="n"/>
      <c r="AM61" s="43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54" t="n"/>
      <c r="AM62" s="43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54" t="n"/>
      <c r="AM63" s="43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54" t="n"/>
      <c r="AM64" s="43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54" t="n"/>
      <c r="AM65" s="43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54" t="n"/>
      <c r="AM66" s="43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54" t="n"/>
      <c r="AM67" s="43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54" t="n"/>
      <c r="AM68" s="43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54" t="n"/>
      <c r="AM69" s="43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54" t="n"/>
      <c r="AM70" s="43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54" t="n"/>
      <c r="AM71" s="43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54" t="n"/>
      <c r="AM72" s="43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54" t="n"/>
      <c r="AM73" s="43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54" t="n"/>
      <c r="AM74" s="43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54" t="n"/>
      <c r="AM75" s="43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54" t="n"/>
      <c r="AM76" s="43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54" t="n"/>
      <c r="AM77" s="43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54" t="n"/>
      <c r="AM78" s="43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54" t="n"/>
      <c r="AM79" s="43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54" t="n"/>
      <c r="AM80" s="43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54" t="n"/>
      <c r="AM81" s="43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54" t="n"/>
      <c r="AM82" s="43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54" t="n"/>
      <c r="AM83" s="43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54" t="n"/>
      <c r="AM84" s="43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54" t="n"/>
      <c r="AM85" s="43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54" t="n"/>
      <c r="AM86" s="43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54" t="n"/>
      <c r="AM87" s="43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54" t="n"/>
      <c r="AM88" s="43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54" t="n"/>
      <c r="AM89" s="43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54" t="n"/>
      <c r="AM90" s="43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54" t="n"/>
      <c r="AM91" s="43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54" t="n"/>
      <c r="AM92" s="43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54" t="n"/>
      <c r="AM93" s="43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54" t="n"/>
      <c r="AM94" s="43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54" t="n"/>
      <c r="AM95" s="43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54" t="n"/>
      <c r="AM96" s="43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54" t="n"/>
      <c r="AM97" s="43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54" t="n"/>
      <c r="AM98" s="43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54" t="n"/>
      <c r="AM99" s="43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54" t="n"/>
      <c r="AM100" s="43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54" t="n"/>
      <c r="AM101" s="43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54" t="n"/>
      <c r="AM102" s="43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54" t="n"/>
      <c r="AM103" s="43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54" t="n"/>
      <c r="AM104" s="43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54" t="n"/>
      <c r="AM105" s="43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54" t="n"/>
      <c r="AM106" s="43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  <c r="AK107" s="4" t="n"/>
      <c r="AL107" s="54" t="n"/>
      <c r="AM107" s="43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54" t="n"/>
      <c r="AM108" s="43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54" t="n"/>
      <c r="AM109" s="43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54" t="n"/>
      <c r="AM110" s="43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54" t="n"/>
      <c r="AM111" s="43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54" t="n"/>
      <c r="AM112" s="43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54" t="n"/>
      <c r="AM113" s="43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54" t="n"/>
      <c r="AM114" s="43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54" t="n"/>
      <c r="AM115" s="43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54" t="n"/>
      <c r="AM116" s="43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54" t="n"/>
      <c r="AM117" s="43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54" t="n"/>
      <c r="AM118" s="43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54" t="n"/>
      <c r="AM119" s="43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54" t="n"/>
      <c r="AM120" s="43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54" t="n"/>
      <c r="AM121" s="43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54" t="n"/>
      <c r="AM122" s="43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54" t="n"/>
      <c r="AM123" s="43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54" t="n"/>
      <c r="AM124" s="43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54" t="n"/>
      <c r="AM125" s="43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54" t="n"/>
      <c r="AM126" s="43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54" t="n"/>
      <c r="AM127" s="43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54" t="n"/>
      <c r="AM128" s="43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54" t="n"/>
      <c r="AM129" s="43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54" t="n"/>
      <c r="AM130" s="43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54" t="n"/>
      <c r="AM131" s="43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54" t="n"/>
      <c r="AM132" s="43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54" t="n"/>
      <c r="AM133" s="43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54" t="n"/>
      <c r="AM134" s="43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54" t="n"/>
      <c r="AM135" s="43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54" t="n"/>
      <c r="AM136" s="43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54" t="n"/>
      <c r="AM137" s="43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54" t="n"/>
      <c r="AM138" s="43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54" t="n"/>
      <c r="AM139" s="43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54" t="n"/>
      <c r="AM140" s="43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54" t="n"/>
      <c r="AM141" s="43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54" t="n"/>
      <c r="AM142" s="43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54" t="n"/>
      <c r="AM143" s="43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54" t="n"/>
      <c r="AM144" s="43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54" t="n"/>
      <c r="AM145" s="43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  <c r="AK146" s="4" t="n"/>
      <c r="AL146" s="54" t="n"/>
      <c r="AM146" s="43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54" t="n"/>
      <c r="AM147" s="43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54" t="n"/>
      <c r="AM148" s="43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54" t="n"/>
      <c r="AM149" s="43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54" t="n"/>
      <c r="AM150" s="43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4" t="n"/>
      <c r="AK151" s="4" t="n"/>
      <c r="AL151" s="54" t="n"/>
      <c r="AM151" s="43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4" t="n"/>
      <c r="AJ152" s="4" t="n"/>
      <c r="AK152" s="4" t="n"/>
      <c r="AL152" s="54" t="n"/>
      <c r="AM152" s="43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54" t="n"/>
      <c r="AM153" s="43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54" t="n"/>
      <c r="AM154" s="43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4" t="n"/>
      <c r="AK155" s="4" t="n"/>
      <c r="AL155" s="54" t="n"/>
      <c r="AM155" s="43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54" t="n"/>
      <c r="AM156" s="43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54" t="n"/>
      <c r="AM157" s="43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54" t="n"/>
      <c r="AM158" s="43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54" t="n"/>
      <c r="AM159" s="43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4" t="n"/>
      <c r="AJ160" s="4" t="n"/>
      <c r="AK160" s="4" t="n"/>
      <c r="AL160" s="54" t="n"/>
      <c r="AM160" s="43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54" t="n"/>
      <c r="AM161" s="43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4" t="n"/>
      <c r="AJ162" s="4" t="n"/>
      <c r="AK162" s="4" t="n"/>
      <c r="AL162" s="54" t="n"/>
      <c r="AM162" s="43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54" t="n"/>
      <c r="AM163" s="43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4" t="n"/>
      <c r="AJ164" s="4" t="n"/>
      <c r="AK164" s="4" t="n"/>
      <c r="AL164" s="54" t="n"/>
      <c r="AM164" s="43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54" t="n"/>
      <c r="AM165" s="43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  <c r="AK166" s="4" t="n"/>
      <c r="AL166" s="54" t="n"/>
      <c r="AM166" s="43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54" t="n"/>
      <c r="AM167" s="43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54" t="n"/>
      <c r="AM168" s="43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54" t="n"/>
      <c r="AM169" s="43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4" t="n"/>
      <c r="AJ170" s="4" t="n"/>
      <c r="AK170" s="4" t="n"/>
      <c r="AL170" s="54" t="n"/>
      <c r="AM170" s="43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  <c r="AK171" s="4" t="n"/>
      <c r="AL171" s="54" t="n"/>
      <c r="AM171" s="43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54" t="n"/>
      <c r="AM172" s="43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54" t="n"/>
      <c r="AM173" s="43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  <c r="AK174" s="4" t="n"/>
      <c r="AL174" s="54" t="n"/>
      <c r="AM174" s="43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54" t="n"/>
      <c r="AM175" s="43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  <c r="AK176" s="4" t="n"/>
      <c r="AL176" s="54" t="n"/>
      <c r="AM176" s="43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4" t="n"/>
      <c r="AK177" s="4" t="n"/>
      <c r="AL177" s="54" t="n"/>
      <c r="AM177" s="43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54" t="n"/>
      <c r="AM178" s="43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  <c r="AK179" s="4" t="n"/>
      <c r="AL179" s="54" t="n"/>
      <c r="AM179" s="43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  <c r="AK180" s="4" t="n"/>
      <c r="AL180" s="54" t="n"/>
      <c r="AM180" s="43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54" t="n"/>
      <c r="AM181" s="43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  <c r="AK182" s="4" t="n"/>
      <c r="AL182" s="54" t="n"/>
      <c r="AM182" s="43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54" t="n"/>
      <c r="AM183" s="43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  <c r="AK184" s="4" t="n"/>
      <c r="AL184" s="54" t="n"/>
      <c r="AM184" s="43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54" t="n"/>
      <c r="AM185" s="43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  <c r="AK186" s="4" t="n"/>
      <c r="AL186" s="54" t="n"/>
      <c r="AM186" s="43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  <c r="AK187" s="4" t="n"/>
      <c r="AL187" s="54" t="n"/>
      <c r="AM187" s="43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  <c r="AK188" s="4" t="n"/>
      <c r="AL188" s="54" t="n"/>
      <c r="AM188" s="43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  <c r="AK189" s="4" t="n"/>
      <c r="AL189" s="54" t="n"/>
      <c r="AM189" s="43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  <c r="AK190" s="4" t="n"/>
      <c r="AL190" s="54" t="n"/>
      <c r="AM190" s="43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  <c r="AK191" s="4" t="n"/>
      <c r="AL191" s="54" t="n"/>
      <c r="AM191" s="43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54" t="n"/>
      <c r="AM192" s="43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54" t="n"/>
      <c r="AM193" s="43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54" t="n"/>
      <c r="AM194" s="43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  <c r="AK195" s="4" t="n"/>
      <c r="AL195" s="54" t="n"/>
      <c r="AM195" s="43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54" t="n"/>
      <c r="AM196" s="43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54" t="n"/>
      <c r="AM197" s="43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  <c r="AK198" s="4" t="n"/>
      <c r="AL198" s="54" t="n"/>
      <c r="AM198" s="43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54" t="n"/>
      <c r="AM199" s="43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54" t="n"/>
      <c r="AM200" s="43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  <c r="AK201" s="4" t="n"/>
      <c r="AL201" s="54" t="n"/>
      <c r="AM201" s="43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54" t="n"/>
      <c r="AM202" s="43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4" t="n"/>
      <c r="AK203" s="4" t="n"/>
      <c r="AL203" s="54" t="n"/>
      <c r="AM203" s="43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4" t="n"/>
      <c r="AJ204" s="4" t="n"/>
      <c r="AK204" s="4" t="n"/>
      <c r="AL204" s="54" t="n"/>
      <c r="AM204" s="43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54" t="n"/>
      <c r="AM205" s="43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54" t="n"/>
      <c r="AM206" s="43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54" t="n"/>
      <c r="AM207" s="43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54" t="n"/>
      <c r="AM208" s="43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54" t="n"/>
      <c r="AM209" s="43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54" t="n"/>
      <c r="AM210" s="43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  <c r="AK211" s="4" t="n"/>
      <c r="AL211" s="54" t="n"/>
      <c r="AM211" s="43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54" t="n"/>
      <c r="AM212" s="43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54" t="n"/>
      <c r="AM213" s="43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54" t="n"/>
      <c r="AM214" s="43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54" t="n"/>
      <c r="AM215" s="43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54" t="n"/>
      <c r="AM216" s="43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54" t="n"/>
      <c r="AM217" s="43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  <c r="AK218" s="4" t="n"/>
      <c r="AL218" s="54" t="n"/>
      <c r="AM218" s="43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54" t="n"/>
      <c r="AM219" s="43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54" t="n"/>
      <c r="AM220" s="43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54" t="n"/>
      <c r="AM221" s="43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54" t="n"/>
      <c r="AM222" s="43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54" t="n"/>
      <c r="AM223" s="43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54" t="n"/>
      <c r="AM224" s="43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54" t="n"/>
      <c r="AM225" s="43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54" t="n"/>
      <c r="AM226" s="43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54" t="n"/>
      <c r="AM227" s="43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54" t="n"/>
      <c r="AM228" s="43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54" t="n"/>
      <c r="AM229" s="43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54" t="n"/>
      <c r="AM230" s="43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54" t="n"/>
      <c r="AM231" s="43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54" t="n"/>
      <c r="AM232" s="43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54" t="n"/>
      <c r="AM233" s="43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54" t="n"/>
      <c r="AM234" s="43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54" t="n"/>
      <c r="AM235" s="43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54" t="n"/>
      <c r="AM236" s="43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54" t="n"/>
      <c r="AM237" s="43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54" t="n"/>
      <c r="AM238" s="43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54" t="n"/>
      <c r="AM239" s="43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54" t="n"/>
      <c r="AM240" s="43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54" t="n"/>
      <c r="AM241" s="43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54" t="n"/>
      <c r="AM242" s="43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54" t="n"/>
      <c r="AM243" s="43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54" t="n"/>
      <c r="AM244" s="43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54" t="n"/>
      <c r="AM245" s="43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54" t="n"/>
      <c r="AM246" s="43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54" t="n"/>
      <c r="AM247" s="43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54" t="n"/>
      <c r="AM248" s="43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54" t="n"/>
      <c r="AM249" s="43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54" t="n"/>
      <c r="AM250" s="43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54" t="n"/>
      <c r="AM251" s="43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54" t="n"/>
      <c r="AM252" s="43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54" t="n"/>
      <c r="AM253" s="43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54" t="n"/>
      <c r="AM254" s="43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54" t="n"/>
      <c r="AM255" s="43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54" t="n"/>
      <c r="AM256" s="43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54" t="n"/>
      <c r="AM257" s="43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54" t="n"/>
      <c r="AM258" s="43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54" t="n"/>
      <c r="AM259" s="43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54" t="n"/>
      <c r="AM260" s="43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54" t="n"/>
      <c r="AM261" s="43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54" t="n"/>
      <c r="AM262" s="43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54" t="n"/>
      <c r="AM263" s="43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54" t="n"/>
      <c r="AM264" s="43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54" t="n"/>
      <c r="AM265" s="43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54" t="n"/>
      <c r="AM266" s="43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54" t="n"/>
      <c r="AM267" s="43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54" t="n"/>
      <c r="AM268" s="43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54" t="n"/>
      <c r="AM269" s="43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54" t="n"/>
      <c r="AM270" s="43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54" t="n"/>
      <c r="AM271" s="43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54" t="n"/>
      <c r="AM272" s="43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54" t="n"/>
      <c r="AM273" s="43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54" t="n"/>
      <c r="AM274" s="43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54" t="n"/>
      <c r="AM275" s="43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54" t="n"/>
      <c r="AM276" s="43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54" t="n"/>
      <c r="AM277" s="43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54" t="n"/>
      <c r="AM278" s="43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4" t="n"/>
      <c r="AK279" s="4" t="n"/>
      <c r="AL279" s="54" t="n"/>
      <c r="AM279" s="43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54" t="n"/>
      <c r="AM280" s="43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54" t="n"/>
      <c r="AM281" s="43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54" t="n"/>
      <c r="AM282" s="43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54" t="n"/>
      <c r="AM283" s="43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54" t="n"/>
      <c r="AM284" s="43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4" t="n"/>
      <c r="AK285" s="4" t="n"/>
      <c r="AL285" s="54" t="n"/>
      <c r="AM285" s="43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4" t="n"/>
      <c r="AJ286" s="4" t="n"/>
      <c r="AK286" s="4" t="n"/>
      <c r="AL286" s="54" t="n"/>
      <c r="AM286" s="43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54" t="n"/>
      <c r="AM287" s="43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54" t="n"/>
      <c r="AM288" s="43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54" t="n"/>
      <c r="AM289" s="43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54" t="n"/>
      <c r="AM290" s="43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54" t="n"/>
      <c r="AM291" s="43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4" t="n"/>
      <c r="AJ292" s="4" t="n"/>
      <c r="AK292" s="4" t="n"/>
      <c r="AL292" s="54" t="n"/>
      <c r="AM292" s="43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4" t="n"/>
      <c r="AK293" s="4" t="n"/>
      <c r="AL293" s="54" t="n"/>
      <c r="AM293" s="43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54" t="n"/>
      <c r="AM294" s="43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54" t="n"/>
      <c r="AM295" s="43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54" t="n"/>
      <c r="AM296" s="43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54" t="n"/>
      <c r="AM297" s="43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54" t="n"/>
      <c r="AM298" s="43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4" t="n"/>
      <c r="AK299" s="4" t="n"/>
      <c r="AL299" s="54" t="n"/>
      <c r="AM299" s="43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  <c r="AK300" s="4" t="n"/>
      <c r="AL300" s="54" t="n"/>
      <c r="AM300" s="43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54" t="n"/>
      <c r="AM301" s="43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4" t="n"/>
      <c r="AJ302" s="4" t="n"/>
      <c r="AK302" s="4" t="n"/>
      <c r="AL302" s="54" t="n"/>
      <c r="AM302" s="43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4" t="n"/>
      <c r="AK303" s="4" t="n"/>
      <c r="AL303" s="54" t="n"/>
      <c r="AM303" s="43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54" t="n"/>
      <c r="AM304" s="43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4" t="n"/>
      <c r="AK305" s="4" t="n"/>
      <c r="AL305" s="54" t="n"/>
      <c r="AM305" s="43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4" t="n"/>
      <c r="AJ306" s="4" t="n"/>
      <c r="AK306" s="4" t="n"/>
      <c r="AL306" s="54" t="n"/>
      <c r="AM306" s="43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54" t="n"/>
      <c r="AM307" s="43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4" t="n"/>
      <c r="AJ308" s="4" t="n"/>
      <c r="AK308" s="4" t="n"/>
      <c r="AL308" s="54" t="n"/>
      <c r="AM308" s="43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4" t="n"/>
      <c r="AK309" s="4" t="n"/>
      <c r="AL309" s="54" t="n"/>
      <c r="AM309" s="43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54" t="n"/>
      <c r="AM310" s="43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4" t="n"/>
      <c r="AK311" s="4" t="n"/>
      <c r="AL311" s="54" t="n"/>
      <c r="AM311" s="43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4" t="n"/>
      <c r="AJ312" s="4" t="n"/>
      <c r="AK312" s="4" t="n"/>
      <c r="AL312" s="54" t="n"/>
      <c r="AM312" s="43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54" t="n"/>
      <c r="AM313" s="43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54" t="n"/>
      <c r="AM314" s="43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54" t="n"/>
      <c r="AM315" s="43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54" t="n"/>
      <c r="AM316" s="43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54" t="n"/>
      <c r="AM317" s="43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54" t="n"/>
      <c r="AM318" s="43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54" t="n"/>
      <c r="AM319" s="43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4" t="n"/>
      <c r="AJ320" s="4" t="n"/>
      <c r="AK320" s="4" t="n"/>
      <c r="AL320" s="54" t="n"/>
      <c r="AM320" s="43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4" t="n"/>
      <c r="AK321" s="4" t="n"/>
      <c r="AL321" s="54" t="n"/>
      <c r="AM321" s="43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54" t="n"/>
      <c r="AM322" s="43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54" t="n"/>
      <c r="AM323" s="43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54" t="n"/>
      <c r="AM324" s="43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54" t="n"/>
      <c r="AM325" s="43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54" t="n"/>
      <c r="AM326" s="43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54" t="n"/>
      <c r="AM327" s="43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54" t="n"/>
      <c r="AM328" s="43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4" t="n"/>
      <c r="AK329" s="4" t="n"/>
      <c r="AL329" s="54" t="n"/>
      <c r="AM329" s="43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4" t="n"/>
      <c r="AJ330" s="4" t="n"/>
      <c r="AK330" s="4" t="n"/>
      <c r="AL330" s="54" t="n"/>
      <c r="AM330" s="43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54" t="n"/>
      <c r="AM331" s="43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54" t="n"/>
      <c r="AM332" s="43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54" t="n"/>
      <c r="AM333" s="43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54" t="n"/>
      <c r="AM334" s="43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54" t="n"/>
      <c r="AM335" s="43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54" t="n"/>
      <c r="AM336" s="43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54" t="n"/>
      <c r="AM337" s="43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  <c r="AK338" s="4" t="n"/>
      <c r="AL338" s="54" t="n"/>
      <c r="AM338" s="43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  <c r="AK339" s="4" t="n"/>
      <c r="AL339" s="54" t="n"/>
      <c r="AM339" s="43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54" t="n"/>
      <c r="AM340" s="43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54" t="n"/>
      <c r="AM341" s="43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54" t="n"/>
      <c r="AM342" s="43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54" t="n"/>
      <c r="AM343" s="43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54" t="n"/>
      <c r="AM344" s="43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54" t="n"/>
      <c r="AM345" s="43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54" t="n"/>
      <c r="AM346" s="43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  <c r="AK347" s="4" t="n"/>
      <c r="AL347" s="54" t="n"/>
      <c r="AM347" s="43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  <c r="AK348" s="4" t="n"/>
      <c r="AL348" s="54" t="n"/>
      <c r="AM348" s="43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54" t="n"/>
      <c r="AM349" s="43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54" t="n"/>
      <c r="AM350" s="43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54" t="n"/>
      <c r="AM351" s="43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54" t="n"/>
      <c r="AM352" s="43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  <c r="AK353" s="4" t="n"/>
      <c r="AL353" s="54" t="n"/>
      <c r="AM353" s="43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  <c r="AK354" s="4" t="n"/>
      <c r="AL354" s="54" t="n"/>
      <c r="AM354" s="43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54" t="n"/>
      <c r="AM355" s="43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54" t="n"/>
      <c r="AM356" s="43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54" t="n"/>
      <c r="AM357" s="43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54" t="n"/>
      <c r="AM358" s="43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4" t="n"/>
      <c r="AK359" s="4" t="n"/>
      <c r="AL359" s="54" t="n"/>
      <c r="AM359" s="43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4" t="n"/>
      <c r="AJ360" s="4" t="n"/>
      <c r="AK360" s="4" t="n"/>
      <c r="AL360" s="54" t="n"/>
      <c r="AM360" s="43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54" t="n"/>
      <c r="AM361" s="43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54" t="n"/>
      <c r="AM362" s="43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54" t="n"/>
      <c r="AM363" s="43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54" t="n"/>
      <c r="AM364" s="43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4" t="n"/>
      <c r="AK365" s="4" t="n"/>
      <c r="AL365" s="54" t="n"/>
      <c r="AM365" s="43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4" t="n"/>
      <c r="AJ366" s="4" t="n"/>
      <c r="AK366" s="4" t="n"/>
      <c r="AL366" s="54" t="n"/>
      <c r="AM366" s="43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54" t="n"/>
      <c r="AM367" s="43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54" t="n"/>
      <c r="AM368" s="43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54" t="n"/>
      <c r="AM369" s="43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54" t="n"/>
      <c r="AM370" s="43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4" t="n"/>
      <c r="AK371" s="4" t="n"/>
      <c r="AL371" s="54" t="n"/>
      <c r="AM371" s="43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4" t="n"/>
      <c r="AJ372" s="4" t="n"/>
      <c r="AK372" s="4" t="n"/>
      <c r="AL372" s="54" t="n"/>
      <c r="AM372" s="43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4" t="n"/>
      <c r="AK373" s="4" t="n"/>
      <c r="AL373" s="54" t="n"/>
      <c r="AM373" s="43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4" t="n"/>
      <c r="AJ374" s="4" t="n"/>
      <c r="AK374" s="4" t="n"/>
      <c r="AL374" s="54" t="n"/>
      <c r="AM374" s="43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4" t="n"/>
      <c r="AK375" s="4" t="n"/>
      <c r="AL375" s="54" t="n"/>
      <c r="AM375" s="43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4" t="n"/>
      <c r="AJ376" s="4" t="n"/>
      <c r="AK376" s="4" t="n"/>
      <c r="AL376" s="54" t="n"/>
      <c r="AM376" s="43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4" t="n"/>
      <c r="AK377" s="4" t="n"/>
      <c r="AL377" s="54" t="n"/>
      <c r="AM377" s="43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4" t="n"/>
      <c r="AJ378" s="4" t="n"/>
      <c r="AK378" s="4" t="n"/>
      <c r="AL378" s="54" t="n"/>
      <c r="AM378" s="43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4" t="n"/>
      <c r="AK379" s="4" t="n"/>
      <c r="AL379" s="54" t="n"/>
      <c r="AM379" s="43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4" t="n"/>
      <c r="AJ380" s="4" t="n"/>
      <c r="AK380" s="4" t="n"/>
      <c r="AL380" s="54" t="n"/>
      <c r="AM380" s="43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54" t="n"/>
      <c r="AM381" s="43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54" t="n"/>
      <c r="AM382" s="43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54" t="n"/>
      <c r="AM383" s="43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4" t="n"/>
      <c r="AJ384" s="4" t="n"/>
      <c r="AK384" s="4" t="n"/>
      <c r="AL384" s="54" t="n"/>
      <c r="AM384" s="43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4" t="n"/>
      <c r="AK385" s="4" t="n"/>
      <c r="AL385" s="54" t="n"/>
      <c r="AM385" s="43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54" t="n"/>
      <c r="AM386" s="43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54" t="n"/>
      <c r="AM387" s="43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54" t="n"/>
      <c r="AM388" s="43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4" t="n"/>
      <c r="AK389" s="4" t="n"/>
      <c r="AL389" s="54" t="n"/>
      <c r="AM389" s="43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4" t="n"/>
      <c r="AJ390" s="4" t="n"/>
      <c r="AK390" s="4" t="n"/>
      <c r="AL390" s="54" t="n"/>
      <c r="AM390" s="43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54" t="n"/>
      <c r="AM391" s="43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54" t="n"/>
      <c r="AM392" s="43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4" t="n"/>
      <c r="AK393" s="4" t="n"/>
      <c r="AL393" s="54" t="n"/>
      <c r="AM393" s="43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s="4" t="n"/>
      <c r="AK394" s="4" t="n"/>
      <c r="AL394" s="54" t="n"/>
      <c r="AM394" s="43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54" t="n"/>
      <c r="AM395" s="43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54" t="n"/>
      <c r="AM396" s="43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4" t="n"/>
      <c r="AK397" s="4" t="n"/>
      <c r="AL397" s="54" t="n"/>
      <c r="AM397" s="43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4" t="n"/>
      <c r="AJ398" s="4" t="n"/>
      <c r="AK398" s="4" t="n"/>
      <c r="AL398" s="54" t="n"/>
      <c r="AM398" s="43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54" t="n"/>
      <c r="AM399" s="43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54" t="n"/>
      <c r="AM400" s="43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4" t="n"/>
      <c r="AK401" s="4" t="n"/>
      <c r="AL401" s="54" t="n"/>
      <c r="AM401" s="43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/>
      <c r="AJ402" s="4" t="n"/>
      <c r="AK402" s="4" t="n"/>
      <c r="AL402" s="54" t="n"/>
      <c r="AM402" s="43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54" t="n"/>
      <c r="AM403" s="43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54" t="n"/>
      <c r="AM404" s="43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4" t="n"/>
      <c r="AK405" s="4" t="n"/>
      <c r="AL405" s="54" t="n"/>
      <c r="AM405" s="43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4" t="n"/>
      <c r="AJ406" s="4" t="n"/>
      <c r="AK406" s="4" t="n"/>
      <c r="AL406" s="54" t="n"/>
      <c r="AM406" s="43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4" t="n"/>
      <c r="AK407" s="4" t="n"/>
      <c r="AL407" s="54" t="n"/>
      <c r="AM407" s="43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4" t="n"/>
      <c r="AJ408" s="4" t="n"/>
      <c r="AK408" s="4" t="n"/>
      <c r="AL408" s="54" t="n"/>
      <c r="AM408" s="43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4" t="n"/>
      <c r="AK409" s="4" t="n"/>
      <c r="AL409" s="54" t="n"/>
      <c r="AM409" s="43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4" t="n"/>
      <c r="AJ410" s="4" t="n"/>
      <c r="AK410" s="4" t="n"/>
      <c r="AL410" s="54" t="n"/>
      <c r="AM410" s="43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54" t="n"/>
      <c r="AM411" s="43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54" t="n"/>
      <c r="AM412" s="43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  <c r="AK413" s="4" t="n"/>
      <c r="AL413" s="54" t="n"/>
      <c r="AM413" s="43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4" t="n"/>
      <c r="AJ414" s="4" t="n"/>
      <c r="AK414" s="4" t="n"/>
      <c r="AL414" s="54" t="n"/>
      <c r="AM414" s="43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54" t="n"/>
      <c r="AM415" s="43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54" t="n"/>
      <c r="AM416" s="43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4" t="n"/>
      <c r="AK417" s="4" t="n"/>
      <c r="AL417" s="54" t="n"/>
      <c r="AM417" s="43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4" t="n"/>
      <c r="AJ418" s="4" t="n"/>
      <c r="AK418" s="4" t="n"/>
      <c r="AL418" s="54" t="n"/>
      <c r="AM418" s="43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54" t="n"/>
      <c r="AM419" s="43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54" t="n"/>
      <c r="AM420" s="43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4" t="n"/>
      <c r="AK421" s="4" t="n"/>
      <c r="AL421" s="54" t="n"/>
      <c r="AM421" s="43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4" t="n"/>
      <c r="AJ422" s="4" t="n"/>
      <c r="AK422" s="4" t="n"/>
      <c r="AL422" s="54" t="n"/>
      <c r="AM422" s="43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54" t="n"/>
      <c r="AM423" s="43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54" t="n"/>
      <c r="AM424" s="43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4" t="n"/>
      <c r="AK425" s="4" t="n"/>
      <c r="AL425" s="54" t="n"/>
      <c r="AM425" s="43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4" t="n"/>
      <c r="AJ426" s="4" t="n"/>
      <c r="AK426" s="4" t="n"/>
      <c r="AL426" s="54" t="n"/>
      <c r="AM426" s="43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  <c r="AK427" s="4" t="n"/>
      <c r="AL427" s="54" t="n"/>
      <c r="AM427" s="43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4" t="n"/>
      <c r="AJ428" s="4" t="n"/>
      <c r="AK428" s="4" t="n"/>
      <c r="AL428" s="54" t="n"/>
      <c r="AM428" s="43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54" t="n"/>
      <c r="AM429" s="43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4" t="n"/>
      <c r="AJ430" s="4" t="n"/>
      <c r="AK430" s="4" t="n"/>
      <c r="AL430" s="54" t="n"/>
      <c r="AM430" s="43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4" t="n"/>
      <c r="AK431" s="4" t="n"/>
      <c r="AL431" s="54" t="n"/>
      <c r="AM431" s="43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54" t="n"/>
      <c r="AM432" s="43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  <c r="AK433" s="4" t="n"/>
      <c r="AL433" s="54" t="n"/>
      <c r="AM433" s="43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4" t="n"/>
      <c r="AJ434" s="4" t="n"/>
      <c r="AK434" s="4" t="n"/>
      <c r="AL434" s="54" t="n"/>
      <c r="AM434" s="43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54" t="n"/>
      <c r="AM435" s="43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4" t="n"/>
      <c r="AJ436" s="4" t="n"/>
      <c r="AK436" s="4" t="n"/>
      <c r="AL436" s="54" t="n"/>
      <c r="AM436" s="43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4" t="n"/>
      <c r="AK437" s="4" t="n"/>
      <c r="AL437" s="54" t="n"/>
      <c r="AM437" s="43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54" t="n"/>
      <c r="AM438" s="43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4" t="n"/>
      <c r="AK439" s="4" t="n"/>
      <c r="AL439" s="54" t="n"/>
      <c r="AM439" s="43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4" t="n"/>
      <c r="AJ440" s="4" t="n"/>
      <c r="AK440" s="4" t="n"/>
      <c r="AL440" s="54" t="n"/>
      <c r="AM440" s="43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  <c r="AK441" s="4" t="n"/>
      <c r="AL441" s="54" t="n"/>
      <c r="AM441" s="43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54" t="n"/>
      <c r="AM442" s="43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4" t="n"/>
      <c r="AK443" s="4" t="n"/>
      <c r="AL443" s="54" t="n"/>
      <c r="AM443" s="43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4" t="n"/>
      <c r="AJ444" s="4" t="n"/>
      <c r="AK444" s="4" t="n"/>
      <c r="AL444" s="54" t="n"/>
      <c r="AM444" s="43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4" t="n"/>
      <c r="AK445" s="4" t="n"/>
      <c r="AL445" s="54" t="n"/>
      <c r="AM445" s="43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54" t="n"/>
      <c r="AM446" s="43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4" t="n"/>
      <c r="AK447" s="4" t="n"/>
      <c r="AL447" s="54" t="n"/>
      <c r="AM447" s="43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4" t="n"/>
      <c r="AJ448" s="4" t="n"/>
      <c r="AK448" s="4" t="n"/>
      <c r="AL448" s="54" t="n"/>
      <c r="AM448" s="43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  <c r="AK449" s="4" t="n"/>
      <c r="AL449" s="54" t="n"/>
      <c r="AM449" s="43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54" t="n"/>
      <c r="AM450" s="43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4" t="n"/>
      <c r="AK451" s="4" t="n"/>
      <c r="AL451" s="54" t="n"/>
      <c r="AM451" s="43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s="4" t="n"/>
      <c r="AK452" s="4" t="n"/>
      <c r="AL452" s="54" t="n"/>
      <c r="AM452" s="43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4" t="n"/>
      <c r="AK453" s="4" t="n"/>
      <c r="AL453" s="54" t="n"/>
      <c r="AM453" s="43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54" t="n"/>
      <c r="AM454" s="43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4" t="n"/>
      <c r="AK455" s="4" t="n"/>
      <c r="AL455" s="54" t="n"/>
      <c r="AM455" s="43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4" t="n"/>
      <c r="AJ456" s="4" t="n"/>
      <c r="AK456" s="4" t="n"/>
      <c r="AL456" s="54" t="n"/>
      <c r="AM456" s="43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4" t="n"/>
      <c r="AK457" s="4" t="n"/>
      <c r="AL457" s="54" t="n"/>
      <c r="AM457" s="43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4" t="n"/>
      <c r="AJ458" s="4" t="n"/>
      <c r="AK458" s="4" t="n"/>
      <c r="AL458" s="54" t="n"/>
      <c r="AM458" s="43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n"/>
      <c r="AJ459" s="4" t="n"/>
      <c r="AK459" s="4" t="n"/>
      <c r="AL459" s="54" t="n"/>
      <c r="AM459" s="43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4" t="n"/>
      <c r="AJ460" s="4" t="n"/>
      <c r="AK460" s="4" t="n"/>
      <c r="AL460" s="54" t="n"/>
      <c r="AM460" s="43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4" t="n"/>
      <c r="AK461" s="4" t="n"/>
      <c r="AL461" s="54" t="n"/>
      <c r="AM461" s="43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4" t="n"/>
      <c r="AJ462" s="4" t="n"/>
      <c r="AK462" s="4" t="n"/>
      <c r="AL462" s="54" t="n"/>
      <c r="AM462" s="43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4" t="n"/>
      <c r="AK463" s="4" t="n"/>
      <c r="AL463" s="54" t="n"/>
      <c r="AM463" s="43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4" t="n"/>
      <c r="AJ464" s="4" t="n"/>
      <c r="AK464" s="4" t="n"/>
      <c r="AL464" s="54" t="n"/>
      <c r="AM464" s="43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  <c r="AL465" s="54" t="n"/>
      <c r="AM465" s="43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54" t="n"/>
      <c r="AM466" s="43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  <c r="AJ467" s="4" t="n"/>
      <c r="AK467" s="4" t="n"/>
      <c r="AL467" s="54" t="n"/>
      <c r="AM467" s="43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s="4" t="n"/>
      <c r="AK468" s="4" t="n"/>
      <c r="AL468" s="54" t="n"/>
      <c r="AM468" s="43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4" t="n"/>
      <c r="AK469" s="4" t="n"/>
      <c r="AL469" s="54" t="n"/>
      <c r="AM469" s="43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54" t="n"/>
      <c r="AM470" s="43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4" t="n"/>
      <c r="AK471" s="4" t="n"/>
      <c r="AL471" s="54" t="n"/>
      <c r="AM471" s="43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s="4" t="n"/>
      <c r="AK472" s="4" t="n"/>
      <c r="AL472" s="54" t="n"/>
      <c r="AM472" s="43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4" t="n"/>
      <c r="AK473" s="4" t="n"/>
      <c r="AL473" s="54" t="n"/>
      <c r="AM473" s="43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54" t="n"/>
      <c r="AM474" s="43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4" t="n"/>
      <c r="AK475" s="4" t="n"/>
      <c r="AL475" s="54" t="n"/>
      <c r="AM475" s="43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  <c r="AK476" s="4" t="n"/>
      <c r="AL476" s="54" t="n"/>
      <c r="AM476" s="43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4" t="n"/>
      <c r="AK477" s="4" t="n"/>
      <c r="AL477" s="54" t="n"/>
      <c r="AM477" s="43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54" t="n"/>
      <c r="AM478" s="43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4" t="n"/>
      <c r="AK479" s="4" t="n"/>
      <c r="AL479" s="54" t="n"/>
      <c r="AM479" s="43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/>
      <c r="AJ480" s="4" t="n"/>
      <c r="AK480" s="4" t="n"/>
      <c r="AL480" s="54" t="n"/>
      <c r="AM480" s="43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  <c r="AJ481" s="4" t="n"/>
      <c r="AK481" s="4" t="n"/>
      <c r="AL481" s="54" t="n"/>
      <c r="AM481" s="43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4" t="n"/>
      <c r="AJ482" s="4" t="n"/>
      <c r="AK482" s="4" t="n"/>
      <c r="AL482" s="54" t="n"/>
      <c r="AM482" s="43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4" t="n"/>
      <c r="AK483" s="4" t="n"/>
      <c r="AL483" s="54" t="n"/>
      <c r="AM483" s="43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4" t="n"/>
      <c r="AJ484" s="4" t="n"/>
      <c r="AK484" s="4" t="n"/>
      <c r="AL484" s="54" t="n"/>
      <c r="AM484" s="43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4" t="n"/>
      <c r="AK485" s="4" t="n"/>
      <c r="AL485" s="54" t="n"/>
      <c r="AM485" s="43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s="4" t="n"/>
      <c r="AK486" s="4" t="n"/>
      <c r="AL486" s="54" t="n"/>
      <c r="AM486" s="43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4" t="n"/>
      <c r="AK487" s="4" t="n"/>
      <c r="AL487" s="54" t="n"/>
      <c r="AM487" s="43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s="4" t="n"/>
      <c r="AK488" s="4" t="n"/>
      <c r="AL488" s="54" t="n"/>
      <c r="AM488" s="43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  <c r="AL489" s="54" t="n"/>
      <c r="AM489" s="43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54" t="n"/>
      <c r="AM490" s="43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4" t="n"/>
      <c r="AK491" s="4" t="n"/>
      <c r="AL491" s="54" t="n"/>
      <c r="AM491" s="43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s="4" t="n"/>
      <c r="AK492" s="4" t="n"/>
      <c r="AL492" s="54" t="n"/>
      <c r="AM492" s="43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  <c r="AL493" s="54" t="n"/>
      <c r="AM493" s="43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54" t="n"/>
      <c r="AM494" s="43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4" t="n"/>
      <c r="AK495" s="4" t="n"/>
      <c r="AL495" s="54" t="n"/>
      <c r="AM495" s="43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  <c r="AK496" s="4" t="n"/>
      <c r="AL496" s="54" t="n"/>
      <c r="AM496" s="43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  <c r="AL497" s="54" t="n"/>
      <c r="AM497" s="43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54" t="n"/>
      <c r="AM498" s="43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  <c r="AJ499" s="4" t="n"/>
      <c r="AK499" s="4" t="n"/>
      <c r="AL499" s="54" t="n"/>
      <c r="AM499" s="43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4" t="n"/>
      <c r="AJ500" s="4" t="n"/>
      <c r="AK500" s="4" t="n"/>
      <c r="AL500" s="54" t="n"/>
      <c r="AM500" s="43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  <c r="AL501" s="54" t="n"/>
      <c r="AM501" s="43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54" t="n"/>
      <c r="AM502" s="43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4" t="n"/>
      <c r="AK503" s="4" t="n"/>
      <c r="AL503" s="54" t="n"/>
      <c r="AM503" s="43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4" t="n"/>
      <c r="AJ504" s="4" t="n"/>
      <c r="AK504" s="4" t="n"/>
      <c r="AL504" s="54" t="n"/>
      <c r="AM504" s="43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4" t="n"/>
      <c r="AK505" s="4" t="n"/>
      <c r="AL505" s="54" t="n"/>
      <c r="AM505" s="43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4" t="n"/>
      <c r="AJ506" s="4" t="n"/>
      <c r="AK506" s="4" t="n"/>
      <c r="AL506" s="54" t="n"/>
      <c r="AM506" s="43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4" t="n"/>
      <c r="AK507" s="4" t="n"/>
      <c r="AL507" s="54" t="n"/>
      <c r="AM507" s="43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54" t="n"/>
      <c r="AM508" s="43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4" t="n"/>
      <c r="AK509" s="4" t="n"/>
      <c r="AL509" s="54" t="n"/>
      <c r="AM509" s="43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4" t="n"/>
      <c r="AJ510" s="4" t="n"/>
      <c r="AK510" s="4" t="n"/>
      <c r="AL510" s="54" t="n"/>
      <c r="AM510" s="43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4" t="n"/>
      <c r="AK511" s="4" t="n"/>
      <c r="AL511" s="54" t="n"/>
      <c r="AM511" s="43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4" t="n"/>
      <c r="AJ512" s="4" t="n"/>
      <c r="AK512" s="4" t="n"/>
      <c r="AL512" s="54" t="n"/>
      <c r="AM512" s="43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4" t="n"/>
      <c r="AK513" s="4" t="n"/>
      <c r="AL513" s="54" t="n"/>
      <c r="AM513" s="43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54" t="n"/>
      <c r="AM514" s="43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4" t="n"/>
      <c r="AK515" s="4" t="n"/>
      <c r="AL515" s="54" t="n"/>
      <c r="AM515" s="43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4" t="n"/>
      <c r="AJ516" s="4" t="n"/>
      <c r="AK516" s="4" t="n"/>
      <c r="AL516" s="54" t="n"/>
      <c r="AM516" s="43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4" t="n"/>
      <c r="AK517" s="4" t="n"/>
      <c r="AL517" s="54" t="n"/>
      <c r="AM517" s="43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54" t="n"/>
      <c r="AM518" s="43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4" t="n"/>
      <c r="AK519" s="4" t="n"/>
      <c r="AL519" s="54" t="n"/>
      <c r="AM519" s="43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s="4" t="n"/>
      <c r="AK520" s="4" t="n"/>
      <c r="AL520" s="54" t="n"/>
      <c r="AM520" s="43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  <c r="AK521" s="4" t="n"/>
      <c r="AL521" s="54" t="n"/>
      <c r="AM521" s="43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54" t="n"/>
      <c r="AM522" s="43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4" t="n"/>
      <c r="AK523" s="4" t="n"/>
      <c r="AL523" s="54" t="n"/>
      <c r="AM523" s="43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s="4" t="n"/>
      <c r="AK524" s="4" t="n"/>
      <c r="AL524" s="54" t="n"/>
      <c r="AM524" s="43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s="4" t="n"/>
      <c r="AK525" s="4" t="n"/>
      <c r="AL525" s="54" t="n"/>
      <c r="AM525" s="43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54" t="n"/>
      <c r="AM526" s="43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4" t="n"/>
      <c r="AK527" s="4" t="n"/>
      <c r="AL527" s="54" t="n"/>
      <c r="AM527" s="43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s="4" t="n"/>
      <c r="AK528" s="4" t="n"/>
      <c r="AL528" s="54" t="n"/>
      <c r="AM528" s="43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4" t="n"/>
      <c r="AK529" s="4" t="n"/>
      <c r="AL529" s="54" t="n"/>
      <c r="AM529" s="43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54" t="n"/>
      <c r="AM530" s="43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n"/>
      <c r="AJ531" s="4" t="n"/>
      <c r="AK531" s="4" t="n"/>
      <c r="AL531" s="54" t="n"/>
      <c r="AM531" s="43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s="4" t="n"/>
      <c r="AK532" s="4" t="n"/>
      <c r="AL532" s="54" t="n"/>
      <c r="AM532" s="43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  <c r="AJ533" s="4" t="n"/>
      <c r="AK533" s="4" t="n"/>
      <c r="AL533" s="54" t="n"/>
      <c r="AM533" s="43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54" t="n"/>
      <c r="AM534" s="43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  <c r="AJ535" s="4" t="n"/>
      <c r="AK535" s="4" t="n"/>
      <c r="AL535" s="54" t="n"/>
      <c r="AM535" s="43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54" t="n"/>
      <c r="AM536" s="43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4" t="n"/>
      <c r="AK537" s="4" t="n"/>
      <c r="AL537" s="54" t="n"/>
      <c r="AM537" s="43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s="4" t="n"/>
      <c r="AK538" s="4" t="n"/>
      <c r="AL538" s="54" t="n"/>
      <c r="AM538" s="43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n"/>
      <c r="AJ539" s="4" t="n"/>
      <c r="AK539" s="4" t="n"/>
      <c r="AL539" s="54" t="n"/>
      <c r="AM539" s="43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54" t="n"/>
      <c r="AM540" s="43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  <c r="AJ541" s="4" t="n"/>
      <c r="AK541" s="4" t="n"/>
      <c r="AL541" s="54" t="n"/>
      <c r="AM541" s="43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54" t="n"/>
      <c r="AM542" s="43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  <c r="AJ543" s="4" t="n"/>
      <c r="AK543" s="4" t="n"/>
      <c r="AL543" s="54" t="n"/>
      <c r="AM543" s="43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54" t="n"/>
      <c r="AM544" s="43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s="4" t="n"/>
      <c r="AK545" s="4" t="n"/>
      <c r="AL545" s="54" t="n"/>
      <c r="AM545" s="43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s="4" t="n"/>
      <c r="AK546" s="4" t="n"/>
      <c r="AL546" s="54" t="n"/>
      <c r="AM546" s="43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4" t="n"/>
      <c r="AK547" s="4" t="n"/>
      <c r="AL547" s="54" t="n"/>
      <c r="AM547" s="43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54" t="n"/>
      <c r="AM548" s="43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  <c r="AJ549" s="4" t="n"/>
      <c r="AK549" s="4" t="n"/>
      <c r="AL549" s="54" t="n"/>
      <c r="AM549" s="43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54" t="n"/>
      <c r="AM550" s="43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n"/>
      <c r="AJ551" s="4" t="n"/>
      <c r="AK551" s="4" t="n"/>
      <c r="AL551" s="54" t="n"/>
      <c r="AM551" s="43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s="4" t="n"/>
      <c r="AK552" s="4" t="n"/>
      <c r="AL552" s="54" t="n"/>
      <c r="AM552" s="43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n"/>
      <c r="AJ553" s="4" t="n"/>
      <c r="AK553" s="4" t="n"/>
      <c r="AL553" s="54" t="n"/>
      <c r="AM553" s="43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54" t="n"/>
      <c r="AM554" s="43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4" t="n"/>
      <c r="AK555" s="4" t="n"/>
      <c r="AL555" s="54" t="n"/>
      <c r="AM555" s="43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54" t="n"/>
      <c r="AM556" s="43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  <c r="AJ557" s="4" t="n"/>
      <c r="AK557" s="4" t="n"/>
      <c r="AL557" s="54" t="n"/>
      <c r="AM557" s="43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54" t="n"/>
      <c r="AM558" s="43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  <c r="AJ559" s="4" t="n"/>
      <c r="AK559" s="4" t="n"/>
      <c r="AL559" s="54" t="n"/>
      <c r="AM559" s="43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s="4" t="n"/>
      <c r="AK560" s="4" t="n"/>
      <c r="AL560" s="54" t="n"/>
      <c r="AM560" s="43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  <c r="AJ561" s="4" t="n"/>
      <c r="AK561" s="4" t="n"/>
      <c r="AL561" s="54" t="n"/>
      <c r="AM561" s="43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54" t="n"/>
      <c r="AM562" s="43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4" t="n"/>
      <c r="AK563" s="4" t="n"/>
      <c r="AL563" s="54" t="n"/>
      <c r="AM563" s="43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s="4" t="n"/>
      <c r="AK564" s="4" t="n"/>
      <c r="AL564" s="54" t="n"/>
      <c r="AM564" s="43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s="4" t="n"/>
      <c r="AK565" s="4" t="n"/>
      <c r="AL565" s="54" t="n"/>
      <c r="AM565" s="43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54" t="n"/>
      <c r="AM566" s="43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n"/>
      <c r="AJ567" s="4" t="n"/>
      <c r="AK567" s="4" t="n"/>
      <c r="AL567" s="54" t="n"/>
      <c r="AM567" s="43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54" t="n"/>
      <c r="AM568" s="43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n"/>
      <c r="AJ569" s="4" t="n"/>
      <c r="AK569" s="4" t="n"/>
      <c r="AL569" s="54" t="n"/>
      <c r="AM569" s="43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  <c r="AK570" s="4" t="n"/>
      <c r="AL570" s="54" t="n"/>
      <c r="AM570" s="43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n"/>
      <c r="AJ571" s="4" t="n"/>
      <c r="AK571" s="4" t="n"/>
      <c r="AL571" s="54" t="n"/>
      <c r="AM571" s="43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s="4" t="n"/>
      <c r="AK572" s="4" t="n"/>
      <c r="AL572" s="54" t="n"/>
      <c r="AM572" s="43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4" t="n"/>
      <c r="AK573" s="4" t="n"/>
      <c r="AL573" s="54" t="n"/>
      <c r="AM573" s="43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54" t="n"/>
      <c r="AM574" s="43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  <c r="AJ575" s="4" t="n"/>
      <c r="AK575" s="4" t="n"/>
      <c r="AL575" s="54" t="n"/>
      <c r="AM575" s="43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54" t="n"/>
      <c r="AM576" s="43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  <c r="AJ577" s="4" t="n"/>
      <c r="AK577" s="4" t="n"/>
      <c r="AL577" s="54" t="n"/>
      <c r="AM577" s="43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s="4" t="n"/>
      <c r="AK578" s="4" t="n"/>
      <c r="AL578" s="54" t="n"/>
      <c r="AM578" s="43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n"/>
      <c r="AJ579" s="4" t="n"/>
      <c r="AK579" s="4" t="n"/>
      <c r="AL579" s="54" t="n"/>
      <c r="AM579" s="43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54" t="n"/>
      <c r="AM580" s="43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4" t="n"/>
      <c r="AK581" s="4" t="n"/>
      <c r="AL581" s="54" t="n"/>
      <c r="AM581" s="43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54" t="n"/>
      <c r="AM582" s="43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4" t="n"/>
      <c r="AK583" s="4" t="n"/>
      <c r="AL583" s="54" t="n"/>
      <c r="AM583" s="43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54" t="n"/>
      <c r="AM584" s="43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  <c r="AJ585" s="4" t="n"/>
      <c r="AK585" s="4" t="n"/>
      <c r="AL585" s="54" t="n"/>
      <c r="AM585" s="43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s="4" t="n"/>
      <c r="AK586" s="4" t="n"/>
      <c r="AL586" s="54" t="n"/>
      <c r="AM586" s="43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  <c r="AJ587" s="4" t="n"/>
      <c r="AK587" s="4" t="n"/>
      <c r="AL587" s="54" t="n"/>
      <c r="AM587" s="43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54" t="n"/>
      <c r="AM588" s="43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  <c r="AJ589" s="4" t="n"/>
      <c r="AK589" s="4" t="n"/>
      <c r="AL589" s="54" t="n"/>
      <c r="AM589" s="43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54" t="n"/>
      <c r="AM590" s="43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4" t="n"/>
      <c r="AK591" s="4" t="n"/>
      <c r="AL591" s="54" t="n"/>
      <c r="AM591" s="43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s="4" t="n"/>
      <c r="AK592" s="4" t="n"/>
      <c r="AL592" s="54" t="n"/>
      <c r="AM592" s="43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n"/>
      <c r="AJ593" s="4" t="n"/>
      <c r="AK593" s="4" t="n"/>
      <c r="AL593" s="54" t="n"/>
      <c r="AM593" s="43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54" t="n"/>
      <c r="AM594" s="43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  <c r="AJ595" s="4" t="n"/>
      <c r="AK595" s="4" t="n"/>
      <c r="AL595" s="54" t="n"/>
      <c r="AM595" s="43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54" t="n"/>
      <c r="AM596" s="43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  <c r="AJ597" s="4" t="n"/>
      <c r="AK597" s="4" t="n"/>
      <c r="AL597" s="54" t="n"/>
      <c r="AM597" s="43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4" t="n"/>
      <c r="AL598" s="54" t="n"/>
      <c r="AM598" s="43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4" t="n"/>
      <c r="AK599" s="4" t="n"/>
      <c r="AL599" s="54" t="n"/>
      <c r="AM599" s="43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s="4" t="n"/>
      <c r="AK600" s="4" t="n"/>
      <c r="AL600" s="54" t="n"/>
      <c r="AM600" s="43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4" t="n"/>
      <c r="AK601" s="4" t="n"/>
      <c r="AL601" s="54" t="n"/>
      <c r="AM601" s="43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s="4" t="n"/>
      <c r="AK602" s="4" t="n"/>
      <c r="AL602" s="54" t="n"/>
      <c r="AM602" s="43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n"/>
      <c r="AJ603" s="4" t="n"/>
      <c r="AK603" s="4" t="n"/>
      <c r="AL603" s="54" t="n"/>
      <c r="AM603" s="43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s="4" t="n"/>
      <c r="AK604" s="4" t="n"/>
      <c r="AL604" s="54" t="n"/>
      <c r="AM604" s="43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  <c r="AJ605" s="4" t="n"/>
      <c r="AK605" s="4" t="n"/>
      <c r="AL605" s="54" t="n"/>
      <c r="AM605" s="43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s="4" t="n"/>
      <c r="AK606" s="4" t="n"/>
      <c r="AL606" s="54" t="n"/>
      <c r="AM606" s="43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n"/>
      <c r="AJ607" s="4" t="n"/>
      <c r="AK607" s="4" t="n"/>
      <c r="AL607" s="54" t="n"/>
      <c r="AM607" s="43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s="4" t="n"/>
      <c r="AK608" s="4" t="n"/>
      <c r="AL608" s="54" t="n"/>
      <c r="AM608" s="43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s="4" t="n"/>
      <c r="AK609" s="4" t="n"/>
      <c r="AL609" s="54" t="n"/>
      <c r="AM609" s="43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s="4" t="n"/>
      <c r="AK610" s="4" t="n"/>
      <c r="AL610" s="54" t="n"/>
      <c r="AM610" s="43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4" t="n"/>
      <c r="AJ611" s="4" t="n"/>
      <c r="AK611" s="4" t="n"/>
      <c r="AL611" s="54" t="n"/>
      <c r="AM611" s="43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s="4" t="n"/>
      <c r="AK612" s="4" t="n"/>
      <c r="AL612" s="54" t="n"/>
      <c r="AM612" s="43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  <c r="AJ613" s="4" t="n"/>
      <c r="AK613" s="4" t="n"/>
      <c r="AL613" s="54" t="n"/>
      <c r="AM613" s="43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s="4" t="n"/>
      <c r="AK614" s="4" t="n"/>
      <c r="AL614" s="54" t="n"/>
      <c r="AM614" s="43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  <c r="AJ615" s="4" t="n"/>
      <c r="AK615" s="4" t="n"/>
      <c r="AL615" s="54" t="n"/>
      <c r="AM615" s="43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s="4" t="n"/>
      <c r="AK616" s="4" t="n"/>
      <c r="AL616" s="54" t="n"/>
      <c r="AM616" s="43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4" t="n"/>
      <c r="AK617" s="4" t="n"/>
      <c r="AL617" s="54" t="n"/>
      <c r="AM617" s="43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s="4" t="n"/>
      <c r="AK618" s="4" t="n"/>
      <c r="AL618" s="54" t="n"/>
      <c r="AM618" s="43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4" t="n"/>
      <c r="AK619" s="4" t="n"/>
      <c r="AL619" s="54" t="n"/>
      <c r="AM619" s="43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s="4" t="n"/>
      <c r="AK620" s="4" t="n"/>
      <c r="AL620" s="54" t="n"/>
      <c r="AM620" s="43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n"/>
      <c r="AJ621" s="4" t="n"/>
      <c r="AK621" s="4" t="n"/>
      <c r="AL621" s="54" t="n"/>
      <c r="AM621" s="43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s="4" t="n"/>
      <c r="AK622" s="4" t="n"/>
      <c r="AL622" s="54" t="n"/>
      <c r="AM622" s="43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n"/>
      <c r="AJ623" s="4" t="n"/>
      <c r="AK623" s="4" t="n"/>
      <c r="AL623" s="54" t="n"/>
      <c r="AM623" s="43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s="4" t="n"/>
      <c r="AK624" s="4" t="n"/>
      <c r="AL624" s="54" t="n"/>
      <c r="AM624" s="43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  <c r="AJ625" s="4" t="n"/>
      <c r="AK625" s="4" t="n"/>
      <c r="AL625" s="54" t="n"/>
      <c r="AM625" s="43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s="4" t="n"/>
      <c r="AK626" s="4" t="n"/>
      <c r="AL626" s="54" t="n"/>
      <c r="AM626" s="43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4" t="n"/>
      <c r="AK627" s="4" t="n"/>
      <c r="AL627" s="54" t="n"/>
      <c r="AM627" s="43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s="4" t="n"/>
      <c r="AK628" s="4" t="n"/>
      <c r="AL628" s="54" t="n"/>
      <c r="AM628" s="43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  <c r="AJ629" s="4" t="n"/>
      <c r="AK629" s="4" t="n"/>
      <c r="AL629" s="54" t="n"/>
      <c r="AM629" s="43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s="4" t="n"/>
      <c r="AK630" s="4" t="n"/>
      <c r="AL630" s="54" t="n"/>
      <c r="AM630" s="43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  <c r="AJ631" s="4" t="n"/>
      <c r="AK631" s="4" t="n"/>
      <c r="AL631" s="54" t="n"/>
      <c r="AM631" s="43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s="4" t="n"/>
      <c r="AK632" s="4" t="n"/>
      <c r="AL632" s="54" t="n"/>
      <c r="AM632" s="43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  <c r="AJ633" s="4" t="n"/>
      <c r="AK633" s="4" t="n"/>
      <c r="AL633" s="54" t="n"/>
      <c r="AM633" s="43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s="4" t="n"/>
      <c r="AK634" s="4" t="n"/>
      <c r="AL634" s="54" t="n"/>
      <c r="AM634" s="43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4" t="n"/>
      <c r="AK635" s="4" t="n"/>
      <c r="AL635" s="54" t="n"/>
      <c r="AM635" s="43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s="4" t="n"/>
      <c r="AK636" s="4" t="n"/>
      <c r="AL636" s="54" t="n"/>
      <c r="AM636" s="43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s="4" t="n"/>
      <c r="AK637" s="4" t="n"/>
      <c r="AL637" s="54" t="n"/>
      <c r="AM637" s="43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s="4" t="n"/>
      <c r="AK638" s="4" t="n"/>
      <c r="AL638" s="54" t="n"/>
      <c r="AM638" s="43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  <c r="AJ639" s="4" t="n"/>
      <c r="AK639" s="4" t="n"/>
      <c r="AL639" s="54" t="n"/>
      <c r="AM639" s="43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s="4" t="n"/>
      <c r="AK640" s="4" t="n"/>
      <c r="AL640" s="54" t="n"/>
      <c r="AM640" s="43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  <c r="AJ641" s="4" t="n"/>
      <c r="AK641" s="4" t="n"/>
      <c r="AL641" s="54" t="n"/>
      <c r="AM641" s="43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s="4" t="n"/>
      <c r="AK642" s="4" t="n"/>
      <c r="AL642" s="54" t="n"/>
      <c r="AM642" s="43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n"/>
      <c r="AJ643" s="4" t="n"/>
      <c r="AK643" s="4" t="n"/>
      <c r="AL643" s="54" t="n"/>
      <c r="AM643" s="43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s="4" t="n"/>
      <c r="AK644" s="4" t="n"/>
      <c r="AL644" s="54" t="n"/>
      <c r="AM644" s="43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4" t="n"/>
      <c r="AK645" s="4" t="n"/>
      <c r="AL645" s="54" t="n"/>
      <c r="AM645" s="43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  <c r="AK646" s="4" t="n"/>
      <c r="AL646" s="54" t="n"/>
      <c r="AM646" s="43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  <c r="AJ647" s="4" t="n"/>
      <c r="AK647" s="4" t="n"/>
      <c r="AL647" s="54" t="n"/>
      <c r="AM647" s="43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s="4" t="n"/>
      <c r="AK648" s="4" t="n"/>
      <c r="AL648" s="54" t="n"/>
      <c r="AM648" s="43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  <c r="AJ649" s="4" t="n"/>
      <c r="AK649" s="4" t="n"/>
      <c r="AL649" s="54" t="n"/>
      <c r="AM649" s="43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  <c r="AK650" s="4" t="n"/>
      <c r="AL650" s="54" t="n"/>
      <c r="AM650" s="43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  <c r="AJ651" s="4" t="n"/>
      <c r="AK651" s="4" t="n"/>
      <c r="AL651" s="54" t="n"/>
      <c r="AM651" s="43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  <c r="AK652" s="4" t="n"/>
      <c r="AL652" s="54" t="n"/>
      <c r="AM652" s="43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4" t="n"/>
      <c r="AK653" s="4" t="n"/>
      <c r="AL653" s="54" t="n"/>
      <c r="AM653" s="43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  <c r="AK654" s="4" t="n"/>
      <c r="AL654" s="54" t="n"/>
      <c r="AM654" s="43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4" t="n"/>
      <c r="AK655" s="4" t="n"/>
      <c r="AL655" s="54" t="n"/>
      <c r="AM655" s="43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  <c r="AK656" s="4" t="n"/>
      <c r="AL656" s="54" t="n"/>
      <c r="AM656" s="43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  <c r="AJ657" s="4" t="n"/>
      <c r="AK657" s="4" t="n"/>
      <c r="AL657" s="54" t="n"/>
      <c r="AM657" s="43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4" t="n"/>
      <c r="AK658" s="4" t="n"/>
      <c r="AL658" s="54" t="n"/>
      <c r="AM658" s="43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n"/>
      <c r="AJ659" s="4" t="n"/>
      <c r="AK659" s="4" t="n"/>
      <c r="AL659" s="54" t="n"/>
      <c r="AM659" s="43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4" t="n"/>
      <c r="AK660" s="4" t="n"/>
      <c r="AL660" s="54" t="n"/>
      <c r="AM660" s="43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n"/>
      <c r="AJ661" s="4" t="n"/>
      <c r="AK661" s="4" t="n"/>
      <c r="AL661" s="54" t="n"/>
      <c r="AM661" s="43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  <c r="AK662" s="4" t="n"/>
      <c r="AL662" s="54" t="n"/>
      <c r="AM662" s="43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4" t="n"/>
      <c r="AK663" s="4" t="n"/>
      <c r="AL663" s="54" t="n"/>
      <c r="AM663" s="43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  <c r="AK664" s="4" t="n"/>
      <c r="AL664" s="54" t="n"/>
      <c r="AM664" s="43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  <c r="AJ665" s="4" t="n"/>
      <c r="AK665" s="4" t="n"/>
      <c r="AL665" s="54" t="n"/>
      <c r="AM665" s="43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4" t="n"/>
      <c r="AK666" s="4" t="n"/>
      <c r="AL666" s="54" t="n"/>
      <c r="AM666" s="43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n"/>
      <c r="AJ667" s="4" t="n"/>
      <c r="AK667" s="4" t="n"/>
      <c r="AL667" s="54" t="n"/>
      <c r="AM667" s="43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s="4" t="n"/>
      <c r="AK668" s="4" t="n"/>
      <c r="AL668" s="54" t="n"/>
      <c r="AM668" s="43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n"/>
      <c r="AJ669" s="4" t="n"/>
      <c r="AK669" s="4" t="n"/>
      <c r="AL669" s="54" t="n"/>
      <c r="AM669" s="43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s="4" t="n"/>
      <c r="AK670" s="4" t="n"/>
      <c r="AL670" s="54" t="n"/>
      <c r="AM670" s="43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  <c r="AJ671" s="4" t="n"/>
      <c r="AK671" s="4" t="n"/>
      <c r="AL671" s="54" t="n"/>
      <c r="AM671" s="43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s="4" t="n"/>
      <c r="AK672" s="4" t="n"/>
      <c r="AL672" s="54" t="n"/>
      <c r="AM672" s="43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  <c r="AJ673" s="4" t="n"/>
      <c r="AK673" s="4" t="n"/>
      <c r="AL673" s="54" t="n"/>
      <c r="AM673" s="43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s="4" t="n"/>
      <c r="AK674" s="4" t="n"/>
      <c r="AL674" s="54" t="n"/>
      <c r="AM674" s="43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n"/>
      <c r="AJ675" s="4" t="n"/>
      <c r="AK675" s="4" t="n"/>
      <c r="AL675" s="54" t="n"/>
      <c r="AM675" s="43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s="4" t="n"/>
      <c r="AK676" s="4" t="n"/>
      <c r="AL676" s="54" t="n"/>
      <c r="AM676" s="43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n"/>
      <c r="AJ677" s="4" t="n"/>
      <c r="AK677" s="4" t="n"/>
      <c r="AL677" s="54" t="n"/>
      <c r="AM677" s="43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s="4" t="n"/>
      <c r="AK678" s="4" t="n"/>
      <c r="AL678" s="54" t="n"/>
      <c r="AM678" s="43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n"/>
      <c r="AJ679" s="4" t="n"/>
      <c r="AK679" s="4" t="n"/>
      <c r="AL679" s="54" t="n"/>
      <c r="AM679" s="43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s="4" t="n"/>
      <c r="AK680" s="4" t="n"/>
      <c r="AL680" s="54" t="n"/>
      <c r="AM680" s="43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4" t="n"/>
      <c r="AK681" s="4" t="n"/>
      <c r="AL681" s="54" t="n"/>
      <c r="AM681" s="43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s="4" t="n"/>
      <c r="AK682" s="4" t="n"/>
      <c r="AL682" s="54" t="n"/>
      <c r="AM682" s="43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n"/>
      <c r="AJ683" s="4" t="n"/>
      <c r="AK683" s="4" t="n"/>
      <c r="AL683" s="54" t="n"/>
      <c r="AM683" s="43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4" t="n"/>
      <c r="AK684" s="4" t="n"/>
      <c r="AL684" s="54" t="n"/>
      <c r="AM684" s="43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n"/>
      <c r="AJ685" s="4" t="n"/>
      <c r="AK685" s="4" t="n"/>
      <c r="AL685" s="54" t="n"/>
      <c r="AM685" s="43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4" t="n"/>
      <c r="AK686" s="4" t="n"/>
      <c r="AL686" s="54" t="n"/>
      <c r="AM686" s="43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n"/>
      <c r="AJ687" s="4" t="n"/>
      <c r="AK687" s="4" t="n"/>
      <c r="AL687" s="54" t="n"/>
      <c r="AM687" s="43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s="4" t="n"/>
      <c r="AK688" s="4" t="n"/>
      <c r="AL688" s="54" t="n"/>
      <c r="AM688" s="43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  <c r="AJ689" s="4" t="n"/>
      <c r="AK689" s="4" t="n"/>
      <c r="AL689" s="54" t="n"/>
      <c r="AM689" s="43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s="4" t="n"/>
      <c r="AK690" s="4" t="n"/>
      <c r="AL690" s="54" t="n"/>
      <c r="AM690" s="43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  <c r="AJ691" s="4" t="n"/>
      <c r="AK691" s="4" t="n"/>
      <c r="AL691" s="54" t="n"/>
      <c r="AM691" s="43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s="4" t="n"/>
      <c r="AK692" s="4" t="n"/>
      <c r="AL692" s="54" t="n"/>
      <c r="AM692" s="43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n"/>
      <c r="AJ693" s="4" t="n"/>
      <c r="AK693" s="4" t="n"/>
      <c r="AL693" s="54" t="n"/>
      <c r="AM693" s="43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s="4" t="n"/>
      <c r="AK694" s="4" t="n"/>
      <c r="AL694" s="54" t="n"/>
      <c r="AM694" s="43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n"/>
      <c r="AJ695" s="4" t="n"/>
      <c r="AK695" s="4" t="n"/>
      <c r="AL695" s="54" t="n"/>
      <c r="AM695" s="43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s="4" t="n"/>
      <c r="AK696" s="4" t="n"/>
      <c r="AL696" s="54" t="n"/>
      <c r="AM696" s="43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n"/>
      <c r="AJ697" s="4" t="n"/>
      <c r="AK697" s="4" t="n"/>
      <c r="AL697" s="54" t="n"/>
      <c r="AM697" s="43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s="4" t="n"/>
      <c r="AK698" s="4" t="n"/>
      <c r="AL698" s="54" t="n"/>
      <c r="AM698" s="43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s="4" t="n"/>
      <c r="AK699" s="4" t="n"/>
      <c r="AL699" s="54" t="n"/>
      <c r="AM699" s="43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  <c r="AK700" s="4" t="n"/>
      <c r="AL700" s="54" t="n"/>
      <c r="AM700" s="43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  <c r="AJ701" s="4" t="n"/>
      <c r="AK701" s="4" t="n"/>
      <c r="AL701" s="54" t="n"/>
      <c r="AM701" s="43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s="4" t="n"/>
      <c r="AK702" s="4" t="n"/>
      <c r="AL702" s="54" t="n"/>
      <c r="AM702" s="43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  <c r="AJ703" s="4" t="n"/>
      <c r="AK703" s="4" t="n"/>
      <c r="AL703" s="54" t="n"/>
      <c r="AM703" s="43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s="4" t="n"/>
      <c r="AK704" s="4" t="n"/>
      <c r="AL704" s="54" t="n"/>
      <c r="AM704" s="43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n"/>
      <c r="AJ705" s="4" t="n"/>
      <c r="AK705" s="4" t="n"/>
      <c r="AL705" s="54" t="n"/>
      <c r="AM705" s="43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s="4" t="n"/>
      <c r="AK706" s="4" t="n"/>
      <c r="AL706" s="54" t="n"/>
      <c r="AM706" s="43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4" t="n"/>
      <c r="AK707" s="4" t="n"/>
      <c r="AL707" s="54" t="n"/>
      <c r="AM707" s="43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s="4" t="n"/>
      <c r="AK708" s="4" t="n"/>
      <c r="AL708" s="54" t="n"/>
      <c r="AM708" s="43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  <c r="AJ709" s="4" t="n"/>
      <c r="AK709" s="4" t="n"/>
      <c r="AL709" s="54" t="n"/>
      <c r="AM709" s="43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s="4" t="n"/>
      <c r="AK710" s="4" t="n"/>
      <c r="AL710" s="54" t="n"/>
      <c r="AM710" s="43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n"/>
      <c r="AJ711" s="4" t="n"/>
      <c r="AK711" s="4" t="n"/>
      <c r="AL711" s="54" t="n"/>
      <c r="AM711" s="43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s="4" t="n"/>
      <c r="AK712" s="4" t="n"/>
      <c r="AL712" s="54" t="n"/>
      <c r="AM712" s="43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n"/>
      <c r="AJ713" s="4" t="n"/>
      <c r="AK713" s="4" t="n"/>
      <c r="AL713" s="54" t="n"/>
      <c r="AM713" s="43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s="4" t="n"/>
      <c r="AK714" s="4" t="n"/>
      <c r="AL714" s="54" t="n"/>
      <c r="AM714" s="43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n"/>
      <c r="AJ715" s="4" t="n"/>
      <c r="AK715" s="4" t="n"/>
      <c r="AL715" s="54" t="n"/>
      <c r="AM715" s="43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s="4" t="n"/>
      <c r="AK716" s="4" t="n"/>
      <c r="AL716" s="54" t="n"/>
      <c r="AM716" s="43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n"/>
      <c r="AJ717" s="4" t="n"/>
      <c r="AK717" s="4" t="n"/>
      <c r="AL717" s="54" t="n"/>
      <c r="AM717" s="43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s="4" t="n"/>
      <c r="AK718" s="4" t="n"/>
      <c r="AL718" s="54" t="n"/>
      <c r="AM718" s="43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n"/>
      <c r="AJ719" s="4" t="n"/>
      <c r="AK719" s="4" t="n"/>
      <c r="AL719" s="54" t="n"/>
      <c r="AM719" s="43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s="4" t="n"/>
      <c r="AK720" s="4" t="n"/>
      <c r="AL720" s="54" t="n"/>
      <c r="AM720" s="43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n"/>
      <c r="AJ721" s="4" t="n"/>
      <c r="AK721" s="4" t="n"/>
      <c r="AL721" s="54" t="n"/>
      <c r="AM721" s="43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s="4" t="n"/>
      <c r="AK722" s="4" t="n"/>
      <c r="AL722" s="54" t="n"/>
      <c r="AM722" s="43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n"/>
      <c r="AJ723" s="4" t="n"/>
      <c r="AK723" s="4" t="n"/>
      <c r="AL723" s="54" t="n"/>
      <c r="AM723" s="43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s="4" t="n"/>
      <c r="AK724" s="4" t="n"/>
      <c r="AL724" s="54" t="n"/>
      <c r="AM724" s="43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  <c r="AJ725" s="4" t="n"/>
      <c r="AK725" s="4" t="n"/>
      <c r="AL725" s="54" t="n"/>
      <c r="AM725" s="43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s="4" t="n"/>
      <c r="AK726" s="4" t="n"/>
      <c r="AL726" s="54" t="n"/>
      <c r="AM726" s="43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4" t="n"/>
      <c r="AK727" s="4" t="n"/>
      <c r="AL727" s="54" t="n"/>
      <c r="AM727" s="43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4" t="n"/>
      <c r="AK728" s="4" t="n"/>
      <c r="AL728" s="54" t="n"/>
      <c r="AM728" s="43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n"/>
      <c r="AJ729" s="4" t="n"/>
      <c r="AK729" s="4" t="n"/>
      <c r="AL729" s="54" t="n"/>
      <c r="AM729" s="43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s="4" t="n"/>
      <c r="AK730" s="4" t="n"/>
      <c r="AL730" s="54" t="n"/>
      <c r="AM730" s="43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n"/>
      <c r="AJ731" s="4" t="n"/>
      <c r="AK731" s="4" t="n"/>
      <c r="AL731" s="54" t="n"/>
      <c r="AM731" s="43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s="4" t="n"/>
      <c r="AK732" s="4" t="n"/>
      <c r="AL732" s="54" t="n"/>
      <c r="AM732" s="43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n"/>
      <c r="AJ733" s="4" t="n"/>
      <c r="AK733" s="4" t="n"/>
      <c r="AL733" s="54" t="n"/>
      <c r="AM733" s="43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s="4" t="n"/>
      <c r="AK734" s="4" t="n"/>
      <c r="AL734" s="54" t="n"/>
      <c r="AM734" s="43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  <c r="AJ735" s="4" t="n"/>
      <c r="AK735" s="4" t="n"/>
      <c r="AL735" s="54" t="n"/>
      <c r="AM735" s="43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s="4" t="n"/>
      <c r="AK736" s="4" t="n"/>
      <c r="AL736" s="54" t="n"/>
      <c r="AM736" s="43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/>
      <c r="AJ737" s="4" t="n"/>
      <c r="AK737" s="4" t="n"/>
      <c r="AL737" s="54" t="n"/>
      <c r="AM737" s="43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s="4" t="n"/>
      <c r="AK738" s="4" t="n"/>
      <c r="AL738" s="54" t="n"/>
      <c r="AM738" s="43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n"/>
      <c r="AJ739" s="4" t="n"/>
      <c r="AK739" s="4" t="n"/>
      <c r="AL739" s="54" t="n"/>
      <c r="AM739" s="43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s="4" t="n"/>
      <c r="AK740" s="4" t="n"/>
      <c r="AL740" s="54" t="n"/>
      <c r="AM740" s="43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n"/>
      <c r="AJ741" s="4" t="n"/>
      <c r="AK741" s="4" t="n"/>
      <c r="AL741" s="54" t="n"/>
      <c r="AM741" s="43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s="4" t="n"/>
      <c r="AK742" s="4" t="n"/>
      <c r="AL742" s="54" t="n"/>
      <c r="AM742" s="43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  <c r="AJ743" s="4" t="n"/>
      <c r="AK743" s="4" t="n"/>
      <c r="AL743" s="54" t="n"/>
      <c r="AM743" s="43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s="4" t="n"/>
      <c r="AK744" s="4" t="n"/>
      <c r="AL744" s="54" t="n"/>
      <c r="AM744" s="43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s="4" t="n"/>
      <c r="AK745" s="4" t="n"/>
      <c r="AL745" s="54" t="n"/>
      <c r="AM745" s="43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4" t="n"/>
      <c r="AK746" s="4" t="n"/>
      <c r="AL746" s="54" t="n"/>
      <c r="AM746" s="43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n"/>
      <c r="AJ747" s="4" t="n"/>
      <c r="AK747" s="4" t="n"/>
      <c r="AL747" s="54" t="n"/>
      <c r="AM747" s="43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4" t="n"/>
      <c r="AK748" s="4" t="n"/>
      <c r="AL748" s="54" t="n"/>
      <c r="AM748" s="43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n"/>
      <c r="AJ749" s="4" t="n"/>
      <c r="AK749" s="4" t="n"/>
      <c r="AL749" s="54" t="n"/>
      <c r="AM749" s="43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s="4" t="n"/>
      <c r="AK750" s="4" t="n"/>
      <c r="AL750" s="54" t="n"/>
      <c r="AM750" s="43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n"/>
      <c r="AJ751" s="4" t="n"/>
      <c r="AK751" s="4" t="n"/>
      <c r="AL751" s="54" t="n"/>
      <c r="AM751" s="43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  <c r="AK752" s="4" t="n"/>
      <c r="AL752" s="54" t="n"/>
      <c r="AM752" s="43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  <c r="AJ753" s="4" t="n"/>
      <c r="AK753" s="4" t="n"/>
      <c r="AL753" s="54" t="n"/>
      <c r="AM753" s="43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  <c r="AK754" s="4" t="n"/>
      <c r="AL754" s="54" t="n"/>
      <c r="AM754" s="43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n"/>
      <c r="AJ755" s="4" t="n"/>
      <c r="AK755" s="4" t="n"/>
      <c r="AL755" s="54" t="n"/>
      <c r="AM755" s="43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s="4" t="n"/>
      <c r="AK756" s="4" t="n"/>
      <c r="AL756" s="54" t="n"/>
      <c r="AM756" s="43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4" t="n"/>
      <c r="AJ757" s="4" t="n"/>
      <c r="AK757" s="4" t="n"/>
      <c r="AL757" s="54" t="n"/>
      <c r="AM757" s="43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  <c r="AJ758" s="4" t="n"/>
      <c r="AK758" s="4" t="n"/>
      <c r="AL758" s="54" t="n"/>
      <c r="AM758" s="43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4" t="n"/>
      <c r="AJ759" s="4" t="n"/>
      <c r="AK759" s="4" t="n"/>
      <c r="AL759" s="54" t="n"/>
      <c r="AM759" s="43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s="4" t="n"/>
      <c r="AK760" s="4" t="n"/>
      <c r="AL760" s="54" t="n"/>
      <c r="AM760" s="43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  <c r="AJ761" s="4" t="n"/>
      <c r="AK761" s="4" t="n"/>
      <c r="AL761" s="54" t="n"/>
      <c r="AM761" s="43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s="4" t="n"/>
      <c r="AK762" s="4" t="n"/>
      <c r="AL762" s="54" t="n"/>
      <c r="AM762" s="43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4" t="n"/>
      <c r="AK763" s="4" t="n"/>
      <c r="AL763" s="54" t="n"/>
      <c r="AM763" s="43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s="4" t="n"/>
      <c r="AK764" s="4" t="n"/>
      <c r="AL764" s="54" t="n"/>
      <c r="AM764" s="43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4" t="n"/>
      <c r="AJ765" s="4" t="n"/>
      <c r="AK765" s="4" t="n"/>
      <c r="AL765" s="54" t="n"/>
      <c r="AM765" s="43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s="4" t="n"/>
      <c r="AK766" s="4" t="n"/>
      <c r="AL766" s="54" t="n"/>
      <c r="AM766" s="43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4" t="n"/>
      <c r="AJ767" s="4" t="n"/>
      <c r="AK767" s="4" t="n"/>
      <c r="AL767" s="54" t="n"/>
      <c r="AM767" s="43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s="4" t="n"/>
      <c r="AK768" s="4" t="n"/>
      <c r="AL768" s="54" t="n"/>
      <c r="AM768" s="43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4" t="n"/>
      <c r="AJ769" s="4" t="n"/>
      <c r="AK769" s="4" t="n"/>
      <c r="AL769" s="54" t="n"/>
      <c r="AM769" s="43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s="4" t="n"/>
      <c r="AK770" s="4" t="n"/>
      <c r="AL770" s="54" t="n"/>
      <c r="AM770" s="43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4" t="n"/>
      <c r="AK771" s="4" t="n"/>
      <c r="AL771" s="54" t="n"/>
      <c r="AM771" s="43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s="4" t="n"/>
      <c r="AK772" s="4" t="n"/>
      <c r="AL772" s="54" t="n"/>
      <c r="AM772" s="43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4" t="n"/>
      <c r="AJ773" s="4" t="n"/>
      <c r="AK773" s="4" t="n"/>
      <c r="AL773" s="54" t="n"/>
      <c r="AM773" s="43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s="4" t="n"/>
      <c r="AK774" s="4" t="n"/>
      <c r="AL774" s="54" t="n"/>
      <c r="AM774" s="43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4" t="n"/>
      <c r="AJ775" s="4" t="n"/>
      <c r="AK775" s="4" t="n"/>
      <c r="AL775" s="54" t="n"/>
      <c r="AM775" s="43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s="4" t="n"/>
      <c r="AK776" s="4" t="n"/>
      <c r="AL776" s="54" t="n"/>
      <c r="AM776" s="43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4" t="n"/>
      <c r="AJ777" s="4" t="n"/>
      <c r="AK777" s="4" t="n"/>
      <c r="AL777" s="54" t="n"/>
      <c r="AM777" s="43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s="4" t="n"/>
      <c r="AK778" s="4" t="n"/>
      <c r="AL778" s="54" t="n"/>
      <c r="AM778" s="43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4" t="n"/>
      <c r="AK779" s="4" t="n"/>
      <c r="AL779" s="54" t="n"/>
      <c r="AM779" s="43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s="4" t="n"/>
      <c r="AK780" s="4" t="n"/>
      <c r="AL780" s="54" t="n"/>
      <c r="AM780" s="43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4" t="n"/>
      <c r="AK781" s="4" t="n"/>
      <c r="AL781" s="54" t="n"/>
      <c r="AM781" s="43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s="4" t="n"/>
      <c r="AK782" s="4" t="n"/>
      <c r="AL782" s="54" t="n"/>
      <c r="AM782" s="43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4" t="n"/>
      <c r="AJ783" s="4" t="n"/>
      <c r="AK783" s="4" t="n"/>
      <c r="AL783" s="54" t="n"/>
      <c r="AM783" s="43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s="4" t="n"/>
      <c r="AK784" s="4" t="n"/>
      <c r="AL784" s="54" t="n"/>
      <c r="AM784" s="43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/>
      <c r="AJ785" s="4" t="n"/>
      <c r="AK785" s="4" t="n"/>
      <c r="AL785" s="54" t="n"/>
      <c r="AM785" s="43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s="4" t="n"/>
      <c r="AK786" s="4" t="n"/>
      <c r="AL786" s="54" t="n"/>
      <c r="AM786" s="43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  <c r="AJ787" s="4" t="n"/>
      <c r="AK787" s="4" t="n"/>
      <c r="AL787" s="54" t="n"/>
      <c r="AM787" s="43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s="4" t="n"/>
      <c r="AK788" s="4" t="n"/>
      <c r="AL788" s="54" t="n"/>
      <c r="AM788" s="43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4" t="n"/>
      <c r="AK789" s="4" t="n"/>
      <c r="AL789" s="54" t="n"/>
      <c r="AM789" s="43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s="4" t="n"/>
      <c r="AK790" s="4" t="n"/>
      <c r="AL790" s="54" t="n"/>
      <c r="AM790" s="43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  <c r="AJ791" s="4" t="n"/>
      <c r="AK791" s="4" t="n"/>
      <c r="AL791" s="54" t="n"/>
      <c r="AM791" s="43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4" t="n"/>
      <c r="AK792" s="4" t="n"/>
      <c r="AL792" s="54" t="n"/>
      <c r="AM792" s="43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  <c r="AJ793" s="4" t="n"/>
      <c r="AK793" s="4" t="n"/>
      <c r="AL793" s="54" t="n"/>
      <c r="AM793" s="43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s="4" t="n"/>
      <c r="AK794" s="4" t="n"/>
      <c r="AL794" s="54" t="n"/>
      <c r="AM794" s="43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4" t="n"/>
      <c r="AJ795" s="4" t="n"/>
      <c r="AK795" s="4" t="n"/>
      <c r="AL795" s="54" t="n"/>
      <c r="AM795" s="43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s="4" t="n"/>
      <c r="AK796" s="4" t="n"/>
      <c r="AL796" s="54" t="n"/>
      <c r="AM796" s="43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4" t="n"/>
      <c r="AK797" s="4" t="n"/>
      <c r="AL797" s="54" t="n"/>
      <c r="AM797" s="43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  <c r="AK798" s="4" t="n"/>
      <c r="AL798" s="54" t="n"/>
      <c r="AM798" s="43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4" t="n"/>
      <c r="AK799" s="4" t="n"/>
      <c r="AL799" s="54" t="n"/>
      <c r="AM799" s="43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s="4" t="n"/>
      <c r="AK800" s="4" t="n"/>
      <c r="AL800" s="54" t="n"/>
      <c r="AM800" s="43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4" t="n"/>
      <c r="AJ801" s="4" t="n"/>
      <c r="AK801" s="4" t="n"/>
      <c r="AL801" s="54" t="n"/>
      <c r="AM801" s="43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s="4" t="n"/>
      <c r="AK802" s="4" t="n"/>
      <c r="AL802" s="54" t="n"/>
      <c r="AM802" s="43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n"/>
      <c r="AJ803" s="4" t="n"/>
      <c r="AK803" s="4" t="n"/>
      <c r="AL803" s="54" t="n"/>
      <c r="AM803" s="43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s="4" t="n"/>
      <c r="AK804" s="4" t="n"/>
      <c r="AL804" s="54" t="n"/>
      <c r="AM804" s="43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n"/>
      <c r="AJ805" s="4" t="n"/>
      <c r="AK805" s="4" t="n"/>
      <c r="AL805" s="54" t="n"/>
      <c r="AM805" s="43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s="4" t="n"/>
      <c r="AK806" s="4" t="n"/>
      <c r="AL806" s="54" t="n"/>
      <c r="AM806" s="43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s="4" t="n"/>
      <c r="AK807" s="4" t="n"/>
      <c r="AL807" s="54" t="n"/>
      <c r="AM807" s="43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s="4" t="n"/>
      <c r="AK808" s="4" t="n"/>
      <c r="AL808" s="54" t="n"/>
      <c r="AM808" s="43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n"/>
      <c r="AJ809" s="4" t="n"/>
      <c r="AK809" s="4" t="n"/>
      <c r="AL809" s="54" t="n"/>
      <c r="AM809" s="43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s="4" t="n"/>
      <c r="AK810" s="4" t="n"/>
      <c r="AL810" s="54" t="n"/>
      <c r="AM810" s="43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n"/>
      <c r="AJ811" s="4" t="n"/>
      <c r="AK811" s="4" t="n"/>
      <c r="AL811" s="54" t="n"/>
      <c r="AM811" s="43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s="4" t="n"/>
      <c r="AK812" s="4" t="n"/>
      <c r="AL812" s="54" t="n"/>
      <c r="AM812" s="43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n"/>
      <c r="AJ813" s="4" t="n"/>
      <c r="AK813" s="4" t="n"/>
      <c r="AL813" s="54" t="n"/>
      <c r="AM813" s="43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s="4" t="n"/>
      <c r="AK814" s="4" t="n"/>
      <c r="AL814" s="54" t="n"/>
      <c r="AM814" s="43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4" t="n"/>
      <c r="AK815" s="4" t="n"/>
      <c r="AL815" s="54" t="n"/>
      <c r="AM815" s="43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s="4" t="n"/>
      <c r="AK816" s="4" t="n"/>
      <c r="AL816" s="54" t="n"/>
      <c r="AM816" s="43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4" t="n"/>
      <c r="AK817" s="4" t="n"/>
      <c r="AL817" s="54" t="n"/>
      <c r="AM817" s="43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s="4" t="n"/>
      <c r="AK818" s="4" t="n"/>
      <c r="AL818" s="54" t="n"/>
      <c r="AM818" s="43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n"/>
      <c r="AJ819" s="4" t="n"/>
      <c r="AK819" s="4" t="n"/>
      <c r="AL819" s="54" t="n"/>
      <c r="AM819" s="43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s="4" t="n"/>
      <c r="AK820" s="4" t="n"/>
      <c r="AL820" s="54" t="n"/>
      <c r="AM820" s="43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/>
      <c r="AJ821" s="4" t="n"/>
      <c r="AK821" s="4" t="n"/>
      <c r="AL821" s="54" t="n"/>
      <c r="AM821" s="43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s="4" t="n"/>
      <c r="AK822" s="4" t="n"/>
      <c r="AL822" s="54" t="n"/>
      <c r="AM822" s="43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n"/>
      <c r="AJ823" s="4" t="n"/>
      <c r="AK823" s="4" t="n"/>
      <c r="AL823" s="54" t="n"/>
      <c r="AM823" s="43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s="4" t="n"/>
      <c r="AK824" s="4" t="n"/>
      <c r="AL824" s="54" t="n"/>
      <c r="AM824" s="43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4" t="n"/>
      <c r="AK825" s="4" t="n"/>
      <c r="AL825" s="54" t="n"/>
      <c r="AM825" s="43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s="4" t="n"/>
      <c r="AK826" s="4" t="n"/>
      <c r="AL826" s="54" t="n"/>
      <c r="AM826" s="43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n"/>
      <c r="AJ827" s="4" t="n"/>
      <c r="AK827" s="4" t="n"/>
      <c r="AL827" s="54" t="n"/>
      <c r="AM827" s="43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s="4" t="n"/>
      <c r="AK828" s="4" t="n"/>
      <c r="AL828" s="54" t="n"/>
      <c r="AM828" s="43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  <c r="AJ829" s="4" t="n"/>
      <c r="AK829" s="4" t="n"/>
      <c r="AL829" s="54" t="n"/>
      <c r="AM829" s="43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4" t="n"/>
      <c r="AK830" s="4" t="n"/>
      <c r="AL830" s="54" t="n"/>
      <c r="AM830" s="43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  <c r="AJ831" s="4" t="n"/>
      <c r="AK831" s="4" t="n"/>
      <c r="AL831" s="54" t="n"/>
      <c r="AM831" s="43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s="4" t="n"/>
      <c r="AK832" s="4" t="n"/>
      <c r="AL832" s="54" t="n"/>
      <c r="AM832" s="43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s="4" t="n"/>
      <c r="AK833" s="4" t="n"/>
      <c r="AL833" s="54" t="n"/>
      <c r="AM833" s="43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s="4" t="n"/>
      <c r="AK834" s="4" t="n"/>
      <c r="AL834" s="54" t="n"/>
      <c r="AM834" s="43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s="4" t="n"/>
      <c r="AK835" s="4" t="n"/>
      <c r="AL835" s="54" t="n"/>
      <c r="AM835" s="43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4" t="n"/>
      <c r="AK836" s="4" t="n"/>
      <c r="AL836" s="54" t="n"/>
      <c r="AM836" s="43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n"/>
      <c r="AJ837" s="4" t="n"/>
      <c r="AK837" s="4" t="n"/>
      <c r="AL837" s="54" t="n"/>
      <c r="AM837" s="43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s="4" t="n"/>
      <c r="AK838" s="4" t="n"/>
      <c r="AL838" s="54" t="n"/>
      <c r="AM838" s="43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n"/>
      <c r="AJ839" s="4" t="n"/>
      <c r="AK839" s="4" t="n"/>
      <c r="AL839" s="54" t="n"/>
      <c r="AM839" s="43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s="4" t="n"/>
      <c r="AK840" s="4" t="n"/>
      <c r="AL840" s="54" t="n"/>
      <c r="AM840" s="43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n"/>
      <c r="AJ841" s="4" t="n"/>
      <c r="AK841" s="4" t="n"/>
      <c r="AL841" s="54" t="n"/>
      <c r="AM841" s="43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s="4" t="n"/>
      <c r="AK842" s="4" t="n"/>
      <c r="AL842" s="54" t="n"/>
      <c r="AM842" s="43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s="4" t="n"/>
      <c r="AK843" s="4" t="n"/>
      <c r="AL843" s="54" t="n"/>
      <c r="AM843" s="43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s="4" t="n"/>
      <c r="AK844" s="4" t="n"/>
      <c r="AL844" s="54" t="n"/>
      <c r="AM844" s="43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  <c r="AJ845" s="4" t="n"/>
      <c r="AK845" s="4" t="n"/>
      <c r="AL845" s="54" t="n"/>
      <c r="AM845" s="43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s="4" t="n"/>
      <c r="AK846" s="4" t="n"/>
      <c r="AL846" s="54" t="n"/>
      <c r="AM846" s="43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n"/>
      <c r="AJ847" s="4" t="n"/>
      <c r="AK847" s="4" t="n"/>
      <c r="AL847" s="54" t="n"/>
      <c r="AM847" s="43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s="4" t="n"/>
      <c r="AK848" s="4" t="n"/>
      <c r="AL848" s="54" t="n"/>
      <c r="AM848" s="43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n"/>
      <c r="AJ849" s="4" t="n"/>
      <c r="AK849" s="4" t="n"/>
      <c r="AL849" s="54" t="n"/>
      <c r="AM849" s="43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s="4" t="n"/>
      <c r="AK850" s="4" t="n"/>
      <c r="AL850" s="54" t="n"/>
      <c r="AM850" s="43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4" t="n"/>
      <c r="AK851" s="4" t="n"/>
      <c r="AL851" s="54" t="n"/>
      <c r="AM851" s="43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s="4" t="n"/>
      <c r="AK852" s="4" t="n"/>
      <c r="AL852" s="54" t="n"/>
      <c r="AM852" s="43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4" t="n"/>
      <c r="AK853" s="4" t="n"/>
      <c r="AL853" s="54" t="n"/>
      <c r="AM853" s="43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s="4" t="n"/>
      <c r="AK854" s="4" t="n"/>
      <c r="AL854" s="54" t="n"/>
      <c r="AM854" s="43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  <c r="AJ855" s="4" t="n"/>
      <c r="AK855" s="4" t="n"/>
      <c r="AL855" s="54" t="n"/>
      <c r="AM855" s="43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s="4" t="n"/>
      <c r="AK856" s="4" t="n"/>
      <c r="AL856" s="54" t="n"/>
      <c r="AM856" s="43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n"/>
      <c r="AJ857" s="4" t="n"/>
      <c r="AK857" s="4" t="n"/>
      <c r="AL857" s="54" t="n"/>
      <c r="AM857" s="43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s="4" t="n"/>
      <c r="AK858" s="4" t="n"/>
      <c r="AL858" s="54" t="n"/>
      <c r="AM858" s="43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  <c r="AJ859" s="4" t="n"/>
      <c r="AK859" s="4" t="n"/>
      <c r="AL859" s="54" t="n"/>
      <c r="AM859" s="43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  <c r="AK860" s="4" t="n"/>
      <c r="AL860" s="54" t="n"/>
      <c r="AM860" s="43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s="4" t="n"/>
      <c r="AK861" s="4" t="n"/>
      <c r="AL861" s="54" t="n"/>
      <c r="AM861" s="43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s="4" t="n"/>
      <c r="AK862" s="4" t="n"/>
      <c r="AL862" s="54" t="n"/>
      <c r="AM862" s="43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n"/>
      <c r="AJ863" s="4" t="n"/>
      <c r="AK863" s="4" t="n"/>
      <c r="AL863" s="54" t="n"/>
      <c r="AM863" s="43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s="4" t="n"/>
      <c r="AK864" s="4" t="n"/>
      <c r="AL864" s="54" t="n"/>
      <c r="AM864" s="43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n"/>
      <c r="AJ865" s="4" t="n"/>
      <c r="AK865" s="4" t="n"/>
      <c r="AL865" s="54" t="n"/>
      <c r="AM865" s="43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s="4" t="n"/>
      <c r="AK866" s="4" t="n"/>
      <c r="AL866" s="54" t="n"/>
      <c r="AM866" s="43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n"/>
      <c r="AJ867" s="4" t="n"/>
      <c r="AK867" s="4" t="n"/>
      <c r="AL867" s="54" t="n"/>
      <c r="AM867" s="43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s="4" t="n"/>
      <c r="AK868" s="4" t="n"/>
      <c r="AL868" s="54" t="n"/>
      <c r="AM868" s="43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s="4" t="n"/>
      <c r="AK869" s="4" t="n"/>
      <c r="AL869" s="54" t="n"/>
      <c r="AM869" s="43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s="4" t="n"/>
      <c r="AK870" s="4" t="n"/>
      <c r="AL870" s="54" t="n"/>
      <c r="AM870" s="43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s="4" t="n"/>
      <c r="AK871" s="4" t="n"/>
      <c r="AL871" s="54" t="n"/>
      <c r="AM871" s="43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s="4" t="n"/>
      <c r="AK872" s="4" t="n"/>
      <c r="AL872" s="54" t="n"/>
      <c r="AM872" s="43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  <c r="AJ873" s="4" t="n"/>
      <c r="AK873" s="4" t="n"/>
      <c r="AL873" s="54" t="n"/>
      <c r="AM873" s="43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s="4" t="n"/>
      <c r="AK874" s="4" t="n"/>
      <c r="AL874" s="54" t="n"/>
      <c r="AM874" s="43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n"/>
      <c r="AJ875" s="4" t="n"/>
      <c r="AK875" s="4" t="n"/>
      <c r="AL875" s="54" t="n"/>
      <c r="AM875" s="43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s="4" t="n"/>
      <c r="AK876" s="4" t="n"/>
      <c r="AL876" s="54" t="n"/>
      <c r="AM876" s="43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  <c r="AJ877" s="4" t="n"/>
      <c r="AK877" s="4" t="n"/>
      <c r="AL877" s="54" t="n"/>
      <c r="AM877" s="43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s="4" t="n"/>
      <c r="AK878" s="4" t="n"/>
      <c r="AL878" s="54" t="n"/>
      <c r="AM878" s="43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s="4" t="n"/>
      <c r="AK879" s="4" t="n"/>
      <c r="AL879" s="54" t="n"/>
      <c r="AM879" s="43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s="4" t="n"/>
      <c r="AK880" s="4" t="n"/>
      <c r="AL880" s="54" t="n"/>
      <c r="AM880" s="43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/>
      <c r="AJ881" s="4" t="n"/>
      <c r="AK881" s="4" t="n"/>
      <c r="AL881" s="54" t="n"/>
      <c r="AM881" s="43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s="4" t="n"/>
      <c r="AK882" s="4" t="n"/>
      <c r="AL882" s="54" t="n"/>
      <c r="AM882" s="43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n"/>
      <c r="AJ883" s="4" t="n"/>
      <c r="AK883" s="4" t="n"/>
      <c r="AL883" s="54" t="n"/>
      <c r="AM883" s="43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s="4" t="n"/>
      <c r="AK884" s="4" t="n"/>
      <c r="AL884" s="54" t="n"/>
      <c r="AM884" s="43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/>
      <c r="AJ885" s="4" t="n"/>
      <c r="AK885" s="4" t="n"/>
      <c r="AL885" s="54" t="n"/>
      <c r="AM885" s="43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s="4" t="n"/>
      <c r="AK886" s="4" t="n"/>
      <c r="AL886" s="54" t="n"/>
      <c r="AM886" s="43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4" t="n"/>
      <c r="AK887" s="4" t="n"/>
      <c r="AL887" s="54" t="n"/>
      <c r="AM887" s="43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s="4" t="n"/>
      <c r="AK888" s="4" t="n"/>
      <c r="AL888" s="54" t="n"/>
      <c r="AM888" s="43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4" t="n"/>
      <c r="AK889" s="4" t="n"/>
      <c r="AL889" s="54" t="n"/>
      <c r="AM889" s="43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s="4" t="n"/>
      <c r="AK890" s="4" t="n"/>
      <c r="AL890" s="54" t="n"/>
      <c r="AM890" s="43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n"/>
      <c r="AJ891" s="4" t="n"/>
      <c r="AK891" s="4" t="n"/>
      <c r="AL891" s="54" t="n"/>
      <c r="AM891" s="43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s="4" t="n"/>
      <c r="AK892" s="4" t="n"/>
      <c r="AL892" s="54" t="n"/>
      <c r="AM892" s="43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n"/>
      <c r="AJ893" s="4" t="n"/>
      <c r="AK893" s="4" t="n"/>
      <c r="AL893" s="54" t="n"/>
      <c r="AM893" s="43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s="4" t="n"/>
      <c r="AK894" s="4" t="n"/>
      <c r="AL894" s="54" t="n"/>
      <c r="AM894" s="43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n"/>
      <c r="AJ895" s="4" t="n"/>
      <c r="AK895" s="4" t="n"/>
      <c r="AL895" s="54" t="n"/>
      <c r="AM895" s="43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s="4" t="n"/>
      <c r="AK896" s="4" t="n"/>
      <c r="AL896" s="54" t="n"/>
      <c r="AM896" s="43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4" t="n"/>
      <c r="AK897" s="4" t="n"/>
      <c r="AL897" s="54" t="n"/>
      <c r="AM897" s="43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s="4" t="n"/>
      <c r="AK898" s="4" t="n"/>
      <c r="AL898" s="54" t="n"/>
      <c r="AM898" s="43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  <c r="AJ899" s="4" t="n"/>
      <c r="AK899" s="4" t="n"/>
      <c r="AL899" s="54" t="n"/>
      <c r="AM899" s="43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s="4" t="n"/>
      <c r="AK900" s="4" t="n"/>
      <c r="AL900" s="54" t="n"/>
      <c r="AM900" s="43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  <c r="AJ901" s="4" t="n"/>
      <c r="AK901" s="4" t="n"/>
      <c r="AL901" s="54" t="n"/>
      <c r="AM901" s="43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s="4" t="n"/>
      <c r="AK902" s="4" t="n"/>
      <c r="AL902" s="54" t="n"/>
      <c r="AM902" s="43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  <c r="AJ903" s="4" t="n"/>
      <c r="AK903" s="4" t="n"/>
      <c r="AL903" s="54" t="n"/>
      <c r="AM903" s="43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s="4" t="n"/>
      <c r="AK904" s="4" t="n"/>
      <c r="AL904" s="54" t="n"/>
      <c r="AM904" s="43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n"/>
      <c r="AJ905" s="4" t="n"/>
      <c r="AK905" s="4" t="n"/>
      <c r="AL905" s="54" t="n"/>
      <c r="AM905" s="43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s="4" t="n"/>
      <c r="AK906" s="4" t="n"/>
      <c r="AL906" s="54" t="n"/>
      <c r="AM906" s="43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n"/>
      <c r="AJ907" s="4" t="n"/>
      <c r="AK907" s="4" t="n"/>
      <c r="AL907" s="54" t="n"/>
      <c r="AM907" s="43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4" t="n"/>
      <c r="AK908" s="4" t="n"/>
      <c r="AL908" s="54" t="n"/>
      <c r="AM908" s="43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n"/>
      <c r="AJ909" s="4" t="n"/>
      <c r="AK909" s="4" t="n"/>
      <c r="AL909" s="54" t="n"/>
      <c r="AM909" s="43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s="4" t="n"/>
      <c r="AK910" s="4" t="n"/>
      <c r="AL910" s="54" t="n"/>
      <c r="AM910" s="43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n"/>
      <c r="AJ911" s="4" t="n"/>
      <c r="AK911" s="4" t="n"/>
      <c r="AL911" s="54" t="n"/>
      <c r="AM911" s="43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4" t="n"/>
      <c r="AK912" s="4" t="n"/>
      <c r="AL912" s="54" t="n"/>
      <c r="AM912" s="43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/>
      <c r="AJ913" s="4" t="n"/>
      <c r="AK913" s="4" t="n"/>
      <c r="AL913" s="54" t="n"/>
      <c r="AM913" s="43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s="4" t="n"/>
      <c r="AK914" s="4" t="n"/>
      <c r="AL914" s="54" t="n"/>
      <c r="AM914" s="43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/>
      <c r="AJ915" s="4" t="n"/>
      <c r="AK915" s="4" t="n"/>
      <c r="AL915" s="54" t="n"/>
      <c r="AM915" s="43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s="4" t="n"/>
      <c r="AK916" s="4" t="n"/>
      <c r="AL916" s="54" t="n"/>
      <c r="AM916" s="43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/>
      <c r="AJ917" s="4" t="n"/>
      <c r="AK917" s="4" t="n"/>
      <c r="AL917" s="54" t="n"/>
      <c r="AM917" s="43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s="4" t="n"/>
      <c r="AK918" s="4" t="n"/>
      <c r="AL918" s="54" t="n"/>
      <c r="AM918" s="43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  <c r="AJ919" s="4" t="n"/>
      <c r="AK919" s="4" t="n"/>
      <c r="AL919" s="54" t="n"/>
      <c r="AM919" s="43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s="4" t="n"/>
      <c r="AK920" s="4" t="n"/>
      <c r="AL920" s="54" t="n"/>
      <c r="AM920" s="43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n"/>
      <c r="AJ921" s="4" t="n"/>
      <c r="AK921" s="4" t="n"/>
      <c r="AL921" s="54" t="n"/>
      <c r="AM921" s="43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s="4" t="n"/>
      <c r="AK922" s="4" t="n"/>
      <c r="AL922" s="54" t="n"/>
      <c r="AM922" s="43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n"/>
      <c r="AJ923" s="4" t="n"/>
      <c r="AK923" s="4" t="n"/>
      <c r="AL923" s="54" t="n"/>
      <c r="AM923" s="43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s="4" t="n"/>
      <c r="AK924" s="4" t="n"/>
      <c r="AL924" s="54" t="n"/>
      <c r="AM924" s="43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  <c r="AJ925" s="4" t="n"/>
      <c r="AK925" s="4" t="n"/>
      <c r="AL925" s="54" t="n"/>
      <c r="AM925" s="43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s="4" t="n"/>
      <c r="AK926" s="4" t="n"/>
      <c r="AL926" s="54" t="n"/>
      <c r="AM926" s="43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n"/>
      <c r="AJ927" s="4" t="n"/>
      <c r="AK927" s="4" t="n"/>
      <c r="AL927" s="54" t="n"/>
      <c r="AM927" s="43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s="4" t="n"/>
      <c r="AK928" s="4" t="n"/>
      <c r="AL928" s="54" t="n"/>
      <c r="AM928" s="43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  <c r="AJ929" s="4" t="n"/>
      <c r="AK929" s="4" t="n"/>
      <c r="AL929" s="54" t="n"/>
      <c r="AM929" s="43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s="4" t="n"/>
      <c r="AK930" s="4" t="n"/>
      <c r="AL930" s="54" t="n"/>
      <c r="AM930" s="43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  <c r="AJ931" s="4" t="n"/>
      <c r="AK931" s="4" t="n"/>
      <c r="AL931" s="54" t="n"/>
      <c r="AM931" s="43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s="4" t="n"/>
      <c r="AK932" s="4" t="n"/>
      <c r="AL932" s="54" t="n"/>
      <c r="AM932" s="43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  <c r="AJ933" s="4" t="n"/>
      <c r="AK933" s="4" t="n"/>
      <c r="AL933" s="54" t="n"/>
      <c r="AM933" s="43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s="4" t="n"/>
      <c r="AK934" s="4" t="n"/>
      <c r="AL934" s="54" t="n"/>
      <c r="AM934" s="43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  <c r="AJ935" s="4" t="n"/>
      <c r="AK935" s="4" t="n"/>
      <c r="AL935" s="54" t="n"/>
      <c r="AM935" s="43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s="4" t="n"/>
      <c r="AK936" s="4" t="n"/>
      <c r="AL936" s="54" t="n"/>
      <c r="AM936" s="43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4" t="n"/>
      <c r="AJ937" s="4" t="n"/>
      <c r="AK937" s="4" t="n"/>
      <c r="AL937" s="54" t="n"/>
      <c r="AM937" s="43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s="4" t="n"/>
      <c r="AK938" s="4" t="n"/>
      <c r="AL938" s="54" t="n"/>
      <c r="AM938" s="43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4" t="n"/>
      <c r="AJ939" s="4" t="n"/>
      <c r="AK939" s="4" t="n"/>
      <c r="AL939" s="54" t="n"/>
      <c r="AM939" s="43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s="4" t="n"/>
      <c r="AK940" s="4" t="n"/>
      <c r="AL940" s="54" t="n"/>
      <c r="AM940" s="43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4" t="n"/>
      <c r="AJ941" s="4" t="n"/>
      <c r="AK941" s="4" t="n"/>
      <c r="AL941" s="54" t="n"/>
      <c r="AM941" s="43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s="4" t="n"/>
      <c r="AK942" s="4" t="n"/>
      <c r="AL942" s="54" t="n"/>
      <c r="AM942" s="43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n"/>
      <c r="AJ943" s="4" t="n"/>
      <c r="AK943" s="4" t="n"/>
      <c r="AL943" s="54" t="n"/>
      <c r="AM943" s="43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s="4" t="n"/>
      <c r="AK944" s="4" t="n"/>
      <c r="AL944" s="54" t="n"/>
      <c r="AM944" s="43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4" t="n"/>
      <c r="AJ945" s="4" t="n"/>
      <c r="AK945" s="4" t="n"/>
      <c r="AL945" s="54" t="n"/>
      <c r="AM945" s="43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s="4" t="n"/>
      <c r="AK946" s="4" t="n"/>
      <c r="AL946" s="54" t="n"/>
      <c r="AM946" s="43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4" t="n"/>
      <c r="AJ947" s="4" t="n"/>
      <c r="AK947" s="4" t="n"/>
      <c r="AL947" s="54" t="n"/>
      <c r="AM947" s="43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s="4" t="n"/>
      <c r="AK948" s="4" t="n"/>
      <c r="AL948" s="54" t="n"/>
      <c r="AM948" s="43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n"/>
      <c r="AJ949" s="4" t="n"/>
      <c r="AK949" s="4" t="n"/>
      <c r="AL949" s="54" t="n"/>
      <c r="AM949" s="43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s="4" t="n"/>
      <c r="AK950" s="4" t="n"/>
      <c r="AL950" s="54" t="n"/>
      <c r="AM950" s="43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  <c r="AJ951" s="4" t="n"/>
      <c r="AK951" s="4" t="n"/>
      <c r="AL951" s="54" t="n"/>
      <c r="AM951" s="43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s="4" t="n"/>
      <c r="AK952" s="4" t="n"/>
      <c r="AL952" s="54" t="n"/>
      <c r="AM952" s="43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  <c r="AJ953" s="4" t="n"/>
      <c r="AK953" s="4" t="n"/>
      <c r="AL953" s="54" t="n"/>
      <c r="AM953" s="43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s="4" t="n"/>
      <c r="AK954" s="4" t="n"/>
      <c r="AL954" s="54" t="n"/>
      <c r="AM954" s="43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  <c r="AJ955" s="4" t="n"/>
      <c r="AK955" s="4" t="n"/>
      <c r="AL955" s="54" t="n"/>
      <c r="AM955" s="43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4" t="n"/>
      <c r="AK956" s="4" t="n"/>
      <c r="AL956" s="54" t="n"/>
      <c r="AM956" s="43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s="4" t="n"/>
      <c r="AK957" s="4" t="n"/>
      <c r="AL957" s="54" t="n"/>
      <c r="AM957" s="43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  <c r="AK958" s="4" t="n"/>
      <c r="AL958" s="54" t="n"/>
      <c r="AM958" s="43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  <c r="AJ959" s="4" t="n"/>
      <c r="AK959" s="4" t="n"/>
      <c r="AL959" s="54" t="n"/>
      <c r="AM959" s="43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4" t="n"/>
      <c r="AK960" s="4" t="n"/>
      <c r="AL960" s="54" t="n"/>
      <c r="AM960" s="43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  <c r="AJ961" s="4" t="n"/>
      <c r="AK961" s="4" t="n"/>
      <c r="AL961" s="54" t="n"/>
      <c r="AM961" s="43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s="4" t="n"/>
      <c r="AK962" s="4" t="n"/>
      <c r="AL962" s="54" t="n"/>
      <c r="AM962" s="43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4" t="n"/>
      <c r="AJ963" s="4" t="n"/>
      <c r="AK963" s="4" t="n"/>
      <c r="AL963" s="54" t="n"/>
      <c r="AM963" s="43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s="4" t="n"/>
      <c r="AK964" s="4" t="n"/>
      <c r="AL964" s="54" t="n"/>
      <c r="AM964" s="43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  <c r="AJ965" s="4" t="n"/>
      <c r="AK965" s="4" t="n"/>
      <c r="AL965" s="54" t="n"/>
      <c r="AM965" s="43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s="4" t="n"/>
      <c r="AK966" s="4" t="n"/>
      <c r="AL966" s="54" t="n"/>
      <c r="AM966" s="43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/>
      <c r="AJ967" s="4" t="n"/>
      <c r="AK967" s="4" t="n"/>
      <c r="AL967" s="54" t="n"/>
      <c r="AM967" s="43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s="4" t="n"/>
      <c r="AK968" s="4" t="n"/>
      <c r="AL968" s="54" t="n"/>
      <c r="AM968" s="43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4" t="n"/>
      <c r="AJ969" s="4" t="n"/>
      <c r="AK969" s="4" t="n"/>
      <c r="AL969" s="54" t="n"/>
      <c r="AM969" s="43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s="4" t="n"/>
      <c r="AK970" s="4" t="n"/>
      <c r="AL970" s="54" t="n"/>
      <c r="AM970" s="43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  <c r="AJ971" s="4" t="n"/>
      <c r="AK971" s="4" t="n"/>
      <c r="AL971" s="54" t="n"/>
      <c r="AM971" s="43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s="4" t="n"/>
      <c r="AK972" s="4" t="n"/>
      <c r="AL972" s="54" t="n"/>
      <c r="AM972" s="43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  <c r="AJ973" s="4" t="n"/>
      <c r="AK973" s="4" t="n"/>
      <c r="AL973" s="54" t="n"/>
      <c r="AM973" s="43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4" t="n"/>
      <c r="AK974" s="4" t="n"/>
      <c r="AL974" s="54" t="n"/>
      <c r="AM974" s="43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  <c r="AJ975" s="4" t="n"/>
      <c r="AK975" s="4" t="n"/>
      <c r="AL975" s="54" t="n"/>
      <c r="AM975" s="43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s="4" t="n"/>
      <c r="AK976" s="4" t="n"/>
      <c r="AL976" s="54" t="n"/>
      <c r="AM976" s="43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  <c r="AJ977" s="4" t="n"/>
      <c r="AK977" s="4" t="n"/>
      <c r="AL977" s="54" t="n"/>
      <c r="AM977" s="43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s="4" t="n"/>
      <c r="AK978" s="4" t="n"/>
      <c r="AL978" s="54" t="n"/>
      <c r="AM978" s="43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  <c r="AJ979" s="4" t="n"/>
      <c r="AK979" s="4" t="n"/>
      <c r="AL979" s="54" t="n"/>
      <c r="AM979" s="43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4" t="n"/>
      <c r="AK980" s="4" t="n"/>
      <c r="AL980" s="54" t="n"/>
      <c r="AM980" s="43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  <c r="AJ981" s="4" t="n"/>
      <c r="AK981" s="4" t="n"/>
      <c r="AL981" s="54" t="n"/>
      <c r="AM981" s="43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4" t="n"/>
      <c r="AK982" s="4" t="n"/>
      <c r="AL982" s="54" t="n"/>
      <c r="AM982" s="43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  <c r="AJ983" s="4" t="n"/>
      <c r="AK983" s="4" t="n"/>
      <c r="AL983" s="54" t="n"/>
      <c r="AM983" s="43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s="4" t="n"/>
      <c r="AK984" s="4" t="n"/>
      <c r="AL984" s="54" t="n"/>
      <c r="AM984" s="43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  <c r="AJ985" s="4" t="n"/>
      <c r="AK985" s="4" t="n"/>
      <c r="AL985" s="54" t="n"/>
      <c r="AM985" s="43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s="4" t="n"/>
      <c r="AK986" s="4" t="n"/>
      <c r="AL986" s="54" t="n"/>
      <c r="AM986" s="43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n"/>
      <c r="AJ987" s="4" t="n"/>
      <c r="AK987" s="4" t="n"/>
      <c r="AL987" s="54" t="n"/>
      <c r="AM987" s="43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s="4" t="n"/>
      <c r="AK988" s="4" t="n"/>
      <c r="AL988" s="54" t="n"/>
      <c r="AM988" s="43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n"/>
      <c r="AJ989" s="4" t="n"/>
      <c r="AK989" s="4" t="n"/>
      <c r="AL989" s="54" t="n"/>
      <c r="AM989" s="43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s="4" t="n"/>
      <c r="AK990" s="4" t="n"/>
      <c r="AL990" s="54" t="n"/>
      <c r="AM990" s="43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n"/>
      <c r="AJ991" s="4" t="n"/>
      <c r="AK991" s="4" t="n"/>
      <c r="AL991" s="54" t="n"/>
      <c r="AM991" s="43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s="4" t="n"/>
      <c r="AK992" s="4" t="n"/>
      <c r="AL992" s="54" t="n"/>
      <c r="AM992" s="43" t="n"/>
    </row>
  </sheetData>
  <hyperlinks>
    <hyperlink xmlns:r="http://schemas.openxmlformats.org/officeDocument/2006/relationships" ref="A2" r:id="rId1"/>
    <hyperlink xmlns:r="http://schemas.openxmlformats.org/officeDocument/2006/relationships" ref="A7" r:id="rId2"/>
    <hyperlink xmlns:r="http://schemas.openxmlformats.org/officeDocument/2006/relationships" ref="A12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27"/>
  <sheetViews>
    <sheetView workbookViewId="0">
      <selection activeCell="A1" sqref="A1"/>
    </sheetView>
  </sheetViews>
  <sheetFormatPr baseColWidth="8" defaultColWidth="12.63" defaultRowHeight="15.75" customHeight="1"/>
  <cols>
    <col width="6.25" customWidth="1" style="162" min="1" max="1"/>
    <col width="19.13" customWidth="1" style="162" min="4" max="4"/>
    <col width="3.25" customWidth="1" style="162" min="6" max="6"/>
    <col width="10.88" customWidth="1" style="162" min="7" max="7"/>
    <col width="2.75" customWidth="1" style="162" min="8" max="8"/>
    <col width="6.5" customWidth="1" style="162" min="9" max="9"/>
    <col width="5.5" customWidth="1" style="162" min="10" max="10"/>
    <col width="10.75" customWidth="1" style="162" min="12" max="12"/>
    <col width="17.88" customWidth="1" style="162" min="13" max="13"/>
    <col width="8.630000000000001" customWidth="1" style="162" min="14" max="14"/>
    <col width="11.13" customWidth="1" style="162" min="16" max="16"/>
    <col width="9" customWidth="1" style="162" min="17" max="17"/>
    <col width="9.5" customWidth="1" style="162" min="20" max="20"/>
  </cols>
  <sheetData>
    <row r="1">
      <c r="A1" s="55" t="n"/>
      <c r="B1" s="56" t="inlineStr">
        <is>
          <t>ORIGINAL</t>
        </is>
      </c>
      <c r="C1" s="57" t="n"/>
      <c r="D1" s="57" t="n"/>
      <c r="E1" s="57" t="n"/>
      <c r="F1" s="57" t="n"/>
      <c r="G1" s="57" t="n"/>
      <c r="H1" s="57" t="n"/>
      <c r="I1" s="4" t="n"/>
      <c r="J1" s="4" t="n"/>
      <c r="K1" s="58" t="n"/>
      <c r="L1" s="59" t="n"/>
      <c r="O1" s="60" t="inlineStr">
        <is>
          <t>↑</t>
        </is>
      </c>
      <c r="P1" s="61" t="inlineStr">
        <is>
          <t>↓</t>
        </is>
      </c>
      <c r="Q1" s="4" t="n"/>
      <c r="R1" s="4" t="n"/>
      <c r="S1" s="4" t="n"/>
      <c r="T1" s="4" t="n"/>
      <c r="U1" s="4" t="n"/>
      <c r="V1" s="4" t="n"/>
    </row>
    <row r="2">
      <c r="A2" s="55" t="n"/>
      <c r="B2" s="62" t="n"/>
      <c r="C2" s="63" t="inlineStr">
        <is>
          <t>Seguidores Totales</t>
        </is>
      </c>
      <c r="D2" s="63" t="inlineStr">
        <is>
          <t>Crecimiento de nuevos seguidores</t>
        </is>
      </c>
      <c r="E2" s="176" t="inlineStr">
        <is>
          <t xml:space="preserve">Alcance </t>
        </is>
      </c>
      <c r="F2" s="177" t="n"/>
      <c r="G2" s="176" t="inlineStr">
        <is>
          <t>Engagement</t>
        </is>
      </c>
      <c r="H2" s="177" t="n"/>
      <c r="I2" s="46" t="n"/>
      <c r="J2" s="46" t="n"/>
      <c r="K2" s="58" t="n"/>
      <c r="L2" s="178" t="inlineStr">
        <is>
          <t>Seguidores</t>
        </is>
      </c>
      <c r="N2" s="179" t="n"/>
      <c r="O2" s="180" t="inlineStr">
        <is>
          <t xml:space="preserve">Alcance </t>
        </is>
      </c>
      <c r="Q2" s="179" t="n"/>
      <c r="R2" s="69" t="inlineStr">
        <is>
          <t>Engagement</t>
        </is>
      </c>
      <c r="U2" s="46" t="n"/>
      <c r="V2" s="4" t="n"/>
    </row>
    <row r="3">
      <c r="A3" s="59" t="n"/>
      <c r="B3" s="59" t="inlineStr">
        <is>
          <t>Facebook</t>
        </is>
      </c>
      <c r="C3" s="15" t="n">
        <v>137821</v>
      </c>
      <c r="D3" s="15" t="n">
        <v>28</v>
      </c>
      <c r="E3" s="15" t="n">
        <v>40884</v>
      </c>
      <c r="F3" s="58" t="inlineStr">
        <is>
          <t>↑</t>
        </is>
      </c>
      <c r="G3" s="79" t="n">
        <v>0.02355444672732609</v>
      </c>
      <c r="H3" s="58" t="inlineStr">
        <is>
          <t>↑</t>
        </is>
      </c>
      <c r="I3" s="58" t="n"/>
      <c r="J3" s="58" t="inlineStr">
        <is>
          <t>↑</t>
        </is>
      </c>
      <c r="K3" s="70" t="n"/>
      <c r="L3" s="71" t="inlineStr">
        <is>
          <t>Actual</t>
        </is>
      </c>
      <c r="M3" s="72" t="inlineStr">
        <is>
          <t>Pasada</t>
        </is>
      </c>
      <c r="N3" s="73" t="inlineStr">
        <is>
          <t>Var</t>
        </is>
      </c>
      <c r="O3" s="72" t="inlineStr">
        <is>
          <t>Actual</t>
        </is>
      </c>
      <c r="P3" s="72" t="inlineStr">
        <is>
          <t>Pasada</t>
        </is>
      </c>
      <c r="Q3" s="73" t="inlineStr">
        <is>
          <t>Var</t>
        </is>
      </c>
      <c r="R3" s="72" t="inlineStr">
        <is>
          <t>Actual</t>
        </is>
      </c>
      <c r="S3" s="72" t="inlineStr">
        <is>
          <t>Pasada</t>
        </is>
      </c>
      <c r="T3" s="72" t="inlineStr">
        <is>
          <t>Var</t>
        </is>
      </c>
      <c r="U3" s="58" t="n"/>
      <c r="V3" s="4" t="n"/>
    </row>
    <row r="4">
      <c r="A4" s="59" t="n"/>
      <c r="B4" s="59" t="inlineStr">
        <is>
          <t>Twitter</t>
        </is>
      </c>
      <c r="C4" s="15" t="n">
        <v>145761</v>
      </c>
      <c r="D4" s="15" t="n">
        <v>-1</v>
      </c>
      <c r="E4" s="15" t="n">
        <v>48530</v>
      </c>
      <c r="F4" s="74" t="inlineStr">
        <is>
          <t>↓</t>
        </is>
      </c>
      <c r="G4" s="79" t="n">
        <v>0.05202967236760767</v>
      </c>
      <c r="H4" s="74" t="inlineStr">
        <is>
          <t>↓</t>
        </is>
      </c>
      <c r="I4" s="74" t="n"/>
      <c r="J4" s="74" t="inlineStr">
        <is>
          <t>↓</t>
        </is>
      </c>
      <c r="K4" s="59" t="inlineStr">
        <is>
          <t>Facebook</t>
        </is>
      </c>
      <c r="L4" s="75">
        <f>'Reporte semanal 2026'!AL3</f>
        <v/>
      </c>
      <c r="M4" s="15" t="n">
        <v>137821</v>
      </c>
      <c r="N4" s="76">
        <f>L4-M4</f>
        <v/>
      </c>
      <c r="O4" s="77">
        <f>'Reporte semanal 2026'!AL4</f>
        <v/>
      </c>
      <c r="P4" s="15" t="n">
        <v>40884</v>
      </c>
      <c r="Q4" s="76">
        <f>O4-P4</f>
        <v/>
      </c>
      <c r="R4" s="78">
        <f>'Reporte semanal 2026'!AL6</f>
        <v/>
      </c>
      <c r="S4" s="24" t="n">
        <v>0.02355444672732609</v>
      </c>
      <c r="T4" s="24">
        <f>R4-S4</f>
        <v/>
      </c>
      <c r="U4" s="74" t="n"/>
      <c r="V4" s="4" t="n"/>
    </row>
    <row r="5">
      <c r="A5" s="59" t="n"/>
      <c r="B5" s="59" t="inlineStr">
        <is>
          <t>Instagram</t>
        </is>
      </c>
      <c r="C5" s="15" t="n">
        <v>17707</v>
      </c>
      <c r="D5" s="15" t="n">
        <v>84</v>
      </c>
      <c r="E5" s="15" t="n">
        <v>33424</v>
      </c>
      <c r="F5" s="58" t="inlineStr">
        <is>
          <t>↑</t>
        </is>
      </c>
      <c r="G5" s="79" t="n">
        <v>0.0335088559119196</v>
      </c>
      <c r="H5" s="58" t="inlineStr">
        <is>
          <t>↑</t>
        </is>
      </c>
      <c r="I5" s="4" t="n"/>
      <c r="J5" s="4" t="n"/>
      <c r="K5" s="59" t="inlineStr">
        <is>
          <t>Twitter</t>
        </is>
      </c>
      <c r="L5" s="75">
        <f>'Reporte semanal 2026'!AL8</f>
        <v/>
      </c>
      <c r="M5" s="15" t="n">
        <v>145761</v>
      </c>
      <c r="N5" s="76">
        <f>L5-M5</f>
        <v/>
      </c>
      <c r="O5" s="77">
        <f>'Reporte semanal 2026'!AL9</f>
        <v/>
      </c>
      <c r="P5" s="15" t="n">
        <v>48530</v>
      </c>
      <c r="Q5" s="76">
        <f>O5-P5</f>
        <v/>
      </c>
      <c r="R5" s="78">
        <f>'Reporte semanal 2026'!AL11</f>
        <v/>
      </c>
      <c r="S5" s="24" t="n">
        <v>0.05202967236760767</v>
      </c>
      <c r="T5" s="24">
        <f>R5-S5</f>
        <v/>
      </c>
      <c r="U5" s="4" t="n"/>
      <c r="V5" s="4" t="n"/>
    </row>
    <row r="6">
      <c r="A6" s="59" t="n"/>
      <c r="B6" s="59" t="inlineStr">
        <is>
          <t>LinkedIn</t>
        </is>
      </c>
      <c r="C6" s="15" t="n">
        <v>23788</v>
      </c>
      <c r="D6" s="15" t="n">
        <v>113</v>
      </c>
      <c r="E6" s="15" t="n">
        <v>10287</v>
      </c>
      <c r="F6" s="74" t="inlineStr">
        <is>
          <t>↓</t>
        </is>
      </c>
      <c r="G6" s="79" t="n">
        <v>0.03344026441139302</v>
      </c>
      <c r="H6" s="58" t="inlineStr">
        <is>
          <t>↑</t>
        </is>
      </c>
      <c r="I6" s="4" t="n"/>
      <c r="J6" s="4" t="n"/>
      <c r="K6" s="59" t="inlineStr">
        <is>
          <t>Instagram</t>
        </is>
      </c>
      <c r="L6" s="75">
        <f>'Reporte semanal 2026'!AL13</f>
        <v/>
      </c>
      <c r="M6" s="15" t="n">
        <v>17707</v>
      </c>
      <c r="N6" s="76">
        <f>L6-M6</f>
        <v/>
      </c>
      <c r="O6" s="77">
        <f>'Reporte semanal 2026'!AL14</f>
        <v/>
      </c>
      <c r="P6" s="15" t="n">
        <v>33424</v>
      </c>
      <c r="Q6" s="76">
        <f>O6-P6</f>
        <v/>
      </c>
      <c r="R6" s="78">
        <f>'Reporte semanal 2026'!AL17</f>
        <v/>
      </c>
      <c r="S6" s="24" t="n">
        <v>0.0335088559119196</v>
      </c>
      <c r="T6" s="24">
        <f>R6-S6</f>
        <v/>
      </c>
      <c r="U6" s="4" t="n"/>
      <c r="V6" s="4" t="n"/>
    </row>
    <row r="7">
      <c r="A7" s="59" t="n"/>
      <c r="B7" s="59" t="inlineStr">
        <is>
          <t>Tiktok</t>
        </is>
      </c>
      <c r="C7" s="15" t="n">
        <v>4068</v>
      </c>
      <c r="D7" s="15" t="n">
        <v>34</v>
      </c>
      <c r="E7" s="15" t="n">
        <v>6913</v>
      </c>
      <c r="F7" s="58" t="inlineStr">
        <is>
          <t>↑</t>
        </is>
      </c>
      <c r="G7" s="42" t="n">
        <v>0.03818891942716621</v>
      </c>
      <c r="H7" s="74" t="inlineStr">
        <is>
          <t>↓</t>
        </is>
      </c>
      <c r="I7" s="4" t="n"/>
      <c r="J7" s="4" t="n"/>
      <c r="K7" s="59" t="inlineStr">
        <is>
          <t>LinkedIn</t>
        </is>
      </c>
      <c r="L7" s="75">
        <f>'Reporte semanal 2026'!AL19</f>
        <v/>
      </c>
      <c r="M7" s="15" t="n">
        <v>23788</v>
      </c>
      <c r="N7" s="76">
        <f>L7-M7</f>
        <v/>
      </c>
      <c r="O7" s="77">
        <f>'Reporte semanal 2026'!AL20</f>
        <v/>
      </c>
      <c r="P7" s="15" t="n">
        <v>10287</v>
      </c>
      <c r="Q7" s="76">
        <f>O7-P7</f>
        <v/>
      </c>
      <c r="R7" s="78">
        <f>'Reporte semanal 2026'!AL22</f>
        <v/>
      </c>
      <c r="S7" s="24" t="n">
        <v>0.03344026441139302</v>
      </c>
      <c r="T7" s="24">
        <f>R7-S7</f>
        <v/>
      </c>
      <c r="U7" s="4" t="n"/>
      <c r="V7" s="4" t="n"/>
    </row>
    <row r="8">
      <c r="H8" s="74" t="n"/>
      <c r="K8" s="59" t="inlineStr">
        <is>
          <t>Tiktok</t>
        </is>
      </c>
      <c r="L8" s="75">
        <f>'Reporte semanal 2026'!AL24</f>
        <v/>
      </c>
      <c r="M8" s="15" t="n">
        <v>4068</v>
      </c>
      <c r="N8" s="76">
        <f>L8-M8</f>
        <v/>
      </c>
      <c r="O8" s="77">
        <f>'Reporte semanal 2026'!AL25</f>
        <v/>
      </c>
      <c r="P8" s="15" t="n">
        <v>6913</v>
      </c>
      <c r="Q8" s="76">
        <f>O8-P8</f>
        <v/>
      </c>
      <c r="R8" s="80">
        <f>'Reporte semanal 2026'!AL27</f>
        <v/>
      </c>
      <c r="S8" s="81" t="n">
        <v>0.03818891942716621</v>
      </c>
      <c r="T8" s="24">
        <f>R8-S8</f>
        <v/>
      </c>
    </row>
    <row r="9">
      <c r="B9" s="94" t="inlineStr">
        <is>
          <t>CAPTURA</t>
        </is>
      </c>
      <c r="K9" s="60" t="n"/>
      <c r="L9" s="61" t="n"/>
    </row>
    <row r="10">
      <c r="B10" s="94" t="n"/>
      <c r="K10" s="94" t="inlineStr">
        <is>
          <t>FORMULADA</t>
        </is>
      </c>
    </row>
    <row r="11">
      <c r="B11" s="83" t="n"/>
      <c r="C11" s="84" t="inlineStr">
        <is>
          <t>Seguidores Totales</t>
        </is>
      </c>
      <c r="D11" s="84" t="inlineStr">
        <is>
          <t>Crecimiento de nuevos seguidores</t>
        </is>
      </c>
      <c r="E11" s="181" t="inlineStr">
        <is>
          <t xml:space="preserve">Alcance </t>
        </is>
      </c>
      <c r="F11" s="182" t="n"/>
      <c r="G11" s="181" t="inlineStr">
        <is>
          <t>Engagement</t>
        </is>
      </c>
      <c r="H11" s="182" t="n"/>
      <c r="K11" s="83" t="n"/>
      <c r="L11" s="84" t="inlineStr">
        <is>
          <t>Seguidores Totales</t>
        </is>
      </c>
      <c r="M11" s="84" t="inlineStr">
        <is>
          <t>Crecimiento de nuevos seguidores</t>
        </is>
      </c>
      <c r="N11" s="181" t="inlineStr">
        <is>
          <t xml:space="preserve">Alcance </t>
        </is>
      </c>
      <c r="O11" s="182" t="n"/>
      <c r="P11" s="181" t="inlineStr">
        <is>
          <t>Engagement</t>
        </is>
      </c>
      <c r="Q11" s="182" t="n"/>
    </row>
    <row r="12">
      <c r="B12" s="87" t="inlineStr">
        <is>
          <t>Facebook</t>
        </is>
      </c>
      <c r="C12" s="40" t="n">
        <v>138225</v>
      </c>
      <c r="D12" s="40" t="n">
        <v>404</v>
      </c>
      <c r="E12" s="40" t="n">
        <v>331203</v>
      </c>
      <c r="F12" s="88" t="inlineStr">
        <is>
          <t>↑</t>
        </is>
      </c>
      <c r="G12" s="89" t="n">
        <v>0.02370449543029501</v>
      </c>
      <c r="H12" s="88" t="inlineStr">
        <is>
          <t>↑</t>
        </is>
      </c>
      <c r="K12" s="59" t="inlineStr">
        <is>
          <t>Facebook</t>
        </is>
      </c>
      <c r="L12" s="15">
        <f>L4</f>
        <v/>
      </c>
      <c r="M12" s="15">
        <f>N4</f>
        <v/>
      </c>
      <c r="N12" s="15">
        <f>O4</f>
        <v/>
      </c>
      <c r="O12" s="90">
        <f>Q4</f>
        <v/>
      </c>
      <c r="P12" s="79">
        <f>R4</f>
        <v/>
      </c>
      <c r="Q12" s="91">
        <f>T4</f>
        <v/>
      </c>
      <c r="S12" s="58" t="n"/>
    </row>
    <row r="13">
      <c r="B13" s="87" t="inlineStr">
        <is>
          <t>Twitter</t>
        </is>
      </c>
      <c r="C13" s="40" t="n">
        <v>145896</v>
      </c>
      <c r="D13" s="40" t="n">
        <v>135</v>
      </c>
      <c r="E13" s="40" t="n">
        <v>245044</v>
      </c>
      <c r="F13" s="88" t="inlineStr">
        <is>
          <t>↑</t>
        </is>
      </c>
      <c r="G13" s="89" t="n">
        <v>0.05818546873214606</v>
      </c>
      <c r="H13" s="88" t="inlineStr">
        <is>
          <t>↑</t>
        </is>
      </c>
      <c r="K13" s="59" t="inlineStr">
        <is>
          <t>Twitter</t>
        </is>
      </c>
      <c r="L13" s="15">
        <f>L5</f>
        <v/>
      </c>
      <c r="M13" s="15">
        <f>N5</f>
        <v/>
      </c>
      <c r="N13" s="15">
        <f>O5</f>
        <v/>
      </c>
      <c r="O13" s="90">
        <f>Q5</f>
        <v/>
      </c>
      <c r="P13" s="79">
        <f>R5</f>
        <v/>
      </c>
      <c r="Q13" s="91">
        <f>T5</f>
        <v/>
      </c>
      <c r="S13" s="74" t="n"/>
    </row>
    <row r="14">
      <c r="B14" s="87" t="inlineStr">
        <is>
          <t>Instagram</t>
        </is>
      </c>
      <c r="C14" s="40" t="n">
        <v>17904</v>
      </c>
      <c r="D14" s="40" t="n">
        <v>197</v>
      </c>
      <c r="E14" s="40" t="n">
        <v>118478</v>
      </c>
      <c r="F14" s="88" t="inlineStr">
        <is>
          <t>↑</t>
        </is>
      </c>
      <c r="G14" s="89" t="n">
        <v>0.02864666857982073</v>
      </c>
      <c r="H14" s="92" t="inlineStr">
        <is>
          <t>↓</t>
        </is>
      </c>
      <c r="K14" s="59" t="inlineStr">
        <is>
          <t>Instagram</t>
        </is>
      </c>
      <c r="L14" s="15">
        <f>L6</f>
        <v/>
      </c>
      <c r="M14" s="15">
        <f>N6</f>
        <v/>
      </c>
      <c r="N14" s="15">
        <f>O6</f>
        <v/>
      </c>
      <c r="O14" s="90">
        <f>Q6</f>
        <v/>
      </c>
      <c r="P14" s="79">
        <f>R6</f>
        <v/>
      </c>
      <c r="Q14" s="91">
        <f>T6</f>
        <v/>
      </c>
    </row>
    <row r="15">
      <c r="B15" s="87" t="inlineStr">
        <is>
          <t>LinkedIn</t>
        </is>
      </c>
      <c r="C15" s="40" t="n">
        <v>23954</v>
      </c>
      <c r="D15" s="40" t="n">
        <v>166</v>
      </c>
      <c r="E15" s="40" t="n">
        <v>29495</v>
      </c>
      <c r="F15" s="88" t="inlineStr">
        <is>
          <t>↑</t>
        </is>
      </c>
      <c r="G15" s="89" t="n">
        <v>0.02532632649601627</v>
      </c>
      <c r="H15" s="92" t="inlineStr">
        <is>
          <t>↓</t>
        </is>
      </c>
      <c r="K15" s="59" t="inlineStr">
        <is>
          <t>LinkedIn</t>
        </is>
      </c>
      <c r="L15" s="15">
        <f>L7</f>
        <v/>
      </c>
      <c r="M15" s="15">
        <f>N7</f>
        <v/>
      </c>
      <c r="N15" s="15">
        <f>O7</f>
        <v/>
      </c>
      <c r="O15" s="90">
        <f>Q7</f>
        <v/>
      </c>
      <c r="P15" s="79">
        <f>R7</f>
        <v/>
      </c>
      <c r="Q15" s="91">
        <f>T7</f>
        <v/>
      </c>
    </row>
    <row r="16">
      <c r="B16" s="87" t="inlineStr">
        <is>
          <t>Tiktok</t>
        </is>
      </c>
      <c r="C16" s="40" t="n">
        <v>4073</v>
      </c>
      <c r="D16" s="40" t="n">
        <v>5</v>
      </c>
      <c r="E16" s="40" t="n">
        <v>4725</v>
      </c>
      <c r="F16" s="92" t="inlineStr">
        <is>
          <t>↓</t>
        </is>
      </c>
      <c r="G16" s="89" t="n">
        <v>0.02772486772486773</v>
      </c>
      <c r="H16" s="92" t="inlineStr">
        <is>
          <t>↓</t>
        </is>
      </c>
      <c r="K16" s="59" t="inlineStr">
        <is>
          <t>Tiktok</t>
        </is>
      </c>
      <c r="L16" s="15">
        <f>L8</f>
        <v/>
      </c>
      <c r="M16" s="15">
        <f>N8</f>
        <v/>
      </c>
      <c r="N16" s="15">
        <f>O8</f>
        <v/>
      </c>
      <c r="O16" s="90">
        <f>Q8</f>
        <v/>
      </c>
      <c r="P16" s="79">
        <f>R8</f>
        <v/>
      </c>
      <c r="Q16" s="91">
        <f>T8</f>
        <v/>
      </c>
    </row>
    <row r="20">
      <c r="J20" s="58" t="n"/>
    </row>
    <row r="21">
      <c r="A21" s="93" t="n"/>
      <c r="I21" s="93" t="n"/>
      <c r="J21" s="92" t="n"/>
      <c r="K21" s="93" t="n"/>
      <c r="L21" s="93" t="n"/>
      <c r="M21" s="93" t="n"/>
      <c r="N21" s="93" t="n"/>
      <c r="O21" s="93" t="n"/>
      <c r="P21" s="93" t="n"/>
      <c r="Q21" s="93" t="n"/>
      <c r="R21" s="93" t="n"/>
      <c r="S21" s="93" t="n"/>
      <c r="T21" s="93" t="n"/>
      <c r="U21" s="93" t="n"/>
      <c r="V21" s="93" t="n"/>
      <c r="W21" s="93" t="n"/>
      <c r="X21" s="93" t="n"/>
      <c r="Y21" s="93" t="n"/>
      <c r="Z21" s="93" t="n"/>
      <c r="AA21" s="93" t="n"/>
      <c r="AB21" s="93" t="n"/>
      <c r="AC21" s="93" t="n"/>
      <c r="AD21" s="93" t="n"/>
    </row>
    <row r="22">
      <c r="A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  <c r="R22" s="93" t="n"/>
      <c r="S22" s="93" t="n"/>
      <c r="T22" s="93" t="n"/>
      <c r="U22" s="93" t="n"/>
      <c r="V22" s="93" t="n"/>
      <c r="W22" s="93" t="n"/>
      <c r="X22" s="93" t="n"/>
      <c r="Y22" s="93" t="n"/>
      <c r="Z22" s="93" t="n"/>
      <c r="AA22" s="93" t="n"/>
      <c r="AB22" s="93" t="n"/>
      <c r="AC22" s="93" t="n"/>
      <c r="AD22" s="93" t="n"/>
    </row>
    <row r="23">
      <c r="A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  <c r="R23" s="93" t="n"/>
      <c r="S23" s="93" t="n"/>
      <c r="T23" s="93" t="n"/>
      <c r="U23" s="93" t="n"/>
      <c r="V23" s="93" t="n"/>
      <c r="W23" s="93" t="n"/>
      <c r="X23" s="93" t="n"/>
      <c r="Y23" s="93" t="n"/>
      <c r="Z23" s="93" t="n"/>
      <c r="AA23" s="93" t="n"/>
      <c r="AB23" s="93" t="n"/>
      <c r="AC23" s="93" t="n"/>
      <c r="AD23" s="93" t="n"/>
    </row>
    <row r="24">
      <c r="A24" s="93" t="n"/>
      <c r="I24" s="93" t="n"/>
      <c r="J24" s="93" t="n"/>
      <c r="K24" s="93" t="n"/>
      <c r="L24" s="93" t="n"/>
      <c r="M24" s="93" t="n"/>
      <c r="N24" s="93" t="n"/>
      <c r="O24" s="93" t="n"/>
      <c r="P24" s="93" t="n"/>
      <c r="Q24" s="93" t="n"/>
      <c r="R24" s="93" t="n"/>
      <c r="S24" s="93" t="n"/>
      <c r="T24" s="93" t="n"/>
      <c r="U24" s="93" t="n"/>
      <c r="V24" s="93" t="n"/>
      <c r="W24" s="93" t="n"/>
      <c r="X24" s="93" t="n"/>
      <c r="Y24" s="93" t="n"/>
      <c r="Z24" s="93" t="n"/>
      <c r="AA24" s="93" t="n"/>
      <c r="AB24" s="93" t="n"/>
      <c r="AC24" s="93" t="n"/>
      <c r="AD24" s="93" t="n"/>
    </row>
    <row r="25">
      <c r="A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  <c r="R25" s="93" t="n"/>
      <c r="S25" s="93" t="n"/>
      <c r="T25" s="93" t="n"/>
      <c r="U25" s="93" t="n"/>
      <c r="V25" s="93" t="n"/>
      <c r="W25" s="93" t="n"/>
      <c r="X25" s="93" t="n"/>
      <c r="Y25" s="93" t="n"/>
      <c r="Z25" s="93" t="n"/>
      <c r="AA25" s="93" t="n"/>
      <c r="AB25" s="93" t="n"/>
      <c r="AC25" s="93" t="n"/>
      <c r="AD25" s="93" t="n"/>
    </row>
    <row r="26">
      <c r="A26" s="93" t="n"/>
      <c r="B26" s="93" t="n"/>
      <c r="C26" s="93" t="n"/>
      <c r="D26" s="93" t="n"/>
      <c r="E26" s="93" t="n"/>
      <c r="F26" s="93" t="n"/>
      <c r="G26" s="93" t="n"/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  <c r="R26" s="93" t="n"/>
      <c r="S26" s="93" t="n"/>
      <c r="T26" s="93" t="n"/>
      <c r="U26" s="93" t="n"/>
      <c r="V26" s="93" t="n"/>
      <c r="W26" s="93" t="n"/>
      <c r="X26" s="93" t="n"/>
      <c r="Y26" s="93" t="n"/>
      <c r="Z26" s="93" t="n"/>
      <c r="AA26" s="93" t="n"/>
      <c r="AB26" s="93" t="n"/>
      <c r="AC26" s="93" t="n"/>
      <c r="AD26" s="93" t="n"/>
    </row>
    <row r="27">
      <c r="A27" s="93" t="n"/>
      <c r="B27" s="93" t="n"/>
      <c r="C27" s="93" t="n"/>
      <c r="D27" s="93" t="n"/>
      <c r="E27" s="93" t="n"/>
      <c r="F27" s="93" t="n"/>
      <c r="G27" s="93" t="n"/>
      <c r="H27" s="93" t="n"/>
      <c r="I27" s="93" t="n"/>
      <c r="J27" s="93" t="n"/>
      <c r="K27" s="93" t="n"/>
      <c r="L27" s="93" t="n"/>
      <c r="M27" s="93" t="n"/>
      <c r="N27" s="93" t="n"/>
      <c r="O27" s="93" t="n"/>
      <c r="P27" s="93" t="n"/>
      <c r="Q27" s="93" t="n"/>
      <c r="R27" s="93" t="n"/>
      <c r="S27" s="93" t="n"/>
      <c r="T27" s="93" t="n"/>
      <c r="U27" s="93" t="n"/>
      <c r="V27" s="93" t="n"/>
      <c r="W27" s="93" t="n"/>
      <c r="X27" s="93" t="n"/>
      <c r="Y27" s="93" t="n"/>
      <c r="Z27" s="93" t="n"/>
      <c r="AA27" s="93" t="n"/>
      <c r="AB27" s="93" t="n"/>
      <c r="AC27" s="93" t="n"/>
      <c r="AD27" s="93" t="n"/>
    </row>
  </sheetData>
  <mergeCells count="10">
    <mergeCell ref="L1:N1"/>
    <mergeCell ref="N11:O11"/>
    <mergeCell ref="R2:T2"/>
    <mergeCell ref="G2:H2"/>
    <mergeCell ref="E2:F2"/>
    <mergeCell ref="G11:H11"/>
    <mergeCell ref="E11:F11"/>
    <mergeCell ref="P11:Q11"/>
    <mergeCell ref="L2:N2"/>
    <mergeCell ref="O2:Q2"/>
  </mergeCells>
  <conditionalFormatting sqref="N4:N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Q4:Q8">
    <cfRule type="cellIs" priority="3" operator="lessThan" dxfId="0">
      <formula>0</formula>
    </cfRule>
    <cfRule type="cellIs" priority="4" operator="greaterThan" dxfId="2">
      <formula>0</formula>
    </cfRule>
  </conditionalFormatting>
  <conditionalFormatting sqref="T4:T8">
    <cfRule type="cellIs" priority="5" operator="greaterThan" dxfId="2">
      <formula>0</formula>
    </cfRule>
    <cfRule type="cellIs" priority="6" operator="lessThan" dxfId="0">
      <formula>0</formula>
    </cfRule>
  </conditionalFormatting>
  <conditionalFormatting sqref="Q12:Q16">
    <cfRule type="cellIs" priority="7" operator="lessThan" dxfId="3">
      <formula>0</formula>
    </cfRule>
    <cfRule type="cellIs" priority="8" operator="greaterThan" dxfId="4">
      <formula>0</formula>
    </cfRule>
  </conditionalFormatting>
  <conditionalFormatting sqref="H10 O12:O16">
    <cfRule type="cellIs" priority="9" operator="greaterThan" dxfId="4">
      <formula>0</formula>
    </cfRule>
    <cfRule type="cellIs" priority="10" operator="less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37.25" customWidth="1" style="162" min="1" max="1"/>
  </cols>
  <sheetData>
    <row r="1">
      <c r="A1" s="3" t="n"/>
      <c r="B1" s="94" t="inlineStr">
        <is>
          <t>Enero</t>
        </is>
      </c>
      <c r="C1" s="94" t="inlineStr">
        <is>
          <t>Febrero</t>
        </is>
      </c>
      <c r="D1" s="94" t="inlineStr">
        <is>
          <t>Marzo</t>
        </is>
      </c>
      <c r="E1" s="94" t="inlineStr">
        <is>
          <t>Abril</t>
        </is>
      </c>
      <c r="F1" s="94" t="inlineStr">
        <is>
          <t>Mayo</t>
        </is>
      </c>
      <c r="G1" s="94" t="inlineStr">
        <is>
          <t>Junio</t>
        </is>
      </c>
      <c r="H1" s="94" t="inlineStr">
        <is>
          <t>Julio</t>
        </is>
      </c>
      <c r="I1" s="94" t="inlineStr">
        <is>
          <t>Agosto</t>
        </is>
      </c>
      <c r="J1" s="94" t="inlineStr">
        <is>
          <t>Septiembre</t>
        </is>
      </c>
      <c r="K1" s="94" t="inlineStr">
        <is>
          <t>Octubre</t>
        </is>
      </c>
      <c r="L1" s="94" t="inlineStr">
        <is>
          <t>Noviembre</t>
        </is>
      </c>
      <c r="M1" s="94" t="inlineStr">
        <is>
          <t>Diciembre</t>
        </is>
      </c>
      <c r="N1" s="94" t="n"/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</row>
    <row r="2">
      <c r="A2" s="52" t="inlineStr">
        <is>
          <t>Facebook</t>
        </is>
      </c>
      <c r="B2" s="52" t="n"/>
      <c r="C2" s="52" t="n"/>
      <c r="D2" s="52" t="n"/>
      <c r="E2" s="52" t="n"/>
      <c r="F2" s="52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52" t="n"/>
      <c r="X2" s="52" t="n"/>
      <c r="Y2" s="52" t="n"/>
      <c r="Z2" s="52" t="n"/>
    </row>
    <row r="3">
      <c r="A3" s="4" t="inlineStr">
        <is>
          <t>Núm de seguidores</t>
        </is>
      </c>
      <c r="B3" s="14" t="n">
        <v>135812</v>
      </c>
      <c r="C3" s="14" t="n">
        <v>136255</v>
      </c>
      <c r="D3" s="15" t="n">
        <v>137734</v>
      </c>
    </row>
    <row r="4">
      <c r="A4" s="4" t="inlineStr">
        <is>
          <t>Impresiones</t>
        </is>
      </c>
      <c r="B4" s="145" t="n">
        <v>591045</v>
      </c>
      <c r="C4" s="145" t="n">
        <v>449232</v>
      </c>
      <c r="D4" s="145" t="n">
        <v>1072767</v>
      </c>
    </row>
    <row r="5">
      <c r="A5" s="4" t="inlineStr">
        <is>
          <t>Interacciones (Reactions, comments and shares)</t>
        </is>
      </c>
      <c r="B5" s="145" t="n">
        <v>10488</v>
      </c>
      <c r="C5" s="145" t="n">
        <v>8929</v>
      </c>
      <c r="D5" s="145" t="n">
        <v>23942</v>
      </c>
    </row>
    <row r="6">
      <c r="A6" s="19" t="inlineStr">
        <is>
          <t>Engagement rate (rango de entre 3% y 5%)</t>
        </is>
      </c>
      <c r="B6" s="79">
        <f>B5/B4</f>
        <v/>
      </c>
      <c r="C6" s="79">
        <f>C5/C4</f>
        <v/>
      </c>
      <c r="D6" s="79">
        <f>D5/D4</f>
        <v/>
      </c>
    </row>
    <row r="7">
      <c r="A7" s="52" t="inlineStr">
        <is>
          <t>Twitter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</row>
    <row r="8">
      <c r="A8" s="4" t="inlineStr">
        <is>
          <t>Followers totales</t>
        </is>
      </c>
      <c r="B8" s="14" t="n">
        <v>145194</v>
      </c>
      <c r="C8" s="14" t="n">
        <v>145319</v>
      </c>
      <c r="D8" s="15" t="n">
        <v>145588</v>
      </c>
    </row>
    <row r="9">
      <c r="A9" s="4" t="inlineStr">
        <is>
          <t>Impresiones</t>
        </is>
      </c>
      <c r="B9" s="145" t="n">
        <v>333491</v>
      </c>
      <c r="C9" s="145" t="n">
        <v>198556</v>
      </c>
      <c r="D9" s="145" t="n">
        <v>493938</v>
      </c>
    </row>
    <row r="10">
      <c r="A10" s="22" t="inlineStr">
        <is>
          <t>Interacciones (Likes, shares and follows)</t>
        </is>
      </c>
      <c r="B10" s="145" t="n">
        <v>25328</v>
      </c>
      <c r="C10" s="145" t="n">
        <v>15880</v>
      </c>
      <c r="D10" s="145" t="n">
        <v>29734</v>
      </c>
    </row>
    <row r="11">
      <c r="A11" s="19" t="inlineStr">
        <is>
          <t>Engagement rate (rango de entre 3% y 5%)</t>
        </is>
      </c>
      <c r="B11" s="79">
        <f>B10/B9</f>
        <v/>
      </c>
      <c r="C11" s="79">
        <f>C10/C9</f>
        <v/>
      </c>
      <c r="D11" s="79">
        <f>D10/D9</f>
        <v/>
      </c>
    </row>
    <row r="12">
      <c r="A12" s="52" t="inlineStr">
        <is>
          <t>Instagram</t>
        </is>
      </c>
      <c r="B12" s="52" t="n"/>
      <c r="C12" s="52" t="n"/>
      <c r="D12" s="52" t="n"/>
      <c r="E12" s="52" t="n"/>
      <c r="F12" s="52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52" t="n"/>
      <c r="Z12" s="52" t="n"/>
    </row>
    <row r="13">
      <c r="A13" s="4" t="inlineStr">
        <is>
          <t>Número de followers</t>
        </is>
      </c>
      <c r="B13" s="14" t="n">
        <v>15056</v>
      </c>
      <c r="C13" s="14" t="n">
        <v>15486</v>
      </c>
      <c r="D13" s="15" t="n">
        <v>17385</v>
      </c>
    </row>
    <row r="14">
      <c r="A14" s="4" t="inlineStr">
        <is>
          <t>Impresiones (views)</t>
        </is>
      </c>
      <c r="B14" s="145" t="n">
        <v>122452</v>
      </c>
      <c r="C14" s="145" t="n">
        <v>167904</v>
      </c>
      <c r="D14" s="145" t="n">
        <v>864800</v>
      </c>
    </row>
    <row r="15">
      <c r="A15" s="4" t="inlineStr">
        <is>
          <t>Reel</t>
        </is>
      </c>
      <c r="B15" s="145" t="n">
        <v>48656</v>
      </c>
      <c r="C15" s="145" t="n">
        <v>32950</v>
      </c>
      <c r="D15" s="145" t="n">
        <v>127315</v>
      </c>
    </row>
    <row r="16">
      <c r="A16" s="4" t="inlineStr">
        <is>
          <t>Interacciones totales (likes)</t>
        </is>
      </c>
      <c r="B16" s="145" t="n">
        <v>3715</v>
      </c>
      <c r="C16" s="145" t="n">
        <v>3592</v>
      </c>
      <c r="D16" s="145" t="n">
        <v>20104</v>
      </c>
    </row>
    <row r="17">
      <c r="A17" s="19" t="inlineStr">
        <is>
          <t>Engagement rate (rango de entre 3% y 5%)</t>
        </is>
      </c>
      <c r="B17" s="79">
        <f>B16/B14</f>
        <v/>
      </c>
      <c r="C17" s="79">
        <f>C16/C14</f>
        <v/>
      </c>
      <c r="D17" s="79">
        <f>D16/D14</f>
        <v/>
      </c>
    </row>
    <row r="18">
      <c r="A18" s="52" t="inlineStr">
        <is>
          <t>LinkedIn</t>
        </is>
      </c>
      <c r="B18" s="52" t="n"/>
      <c r="C18" s="52" t="n"/>
      <c r="D18" s="52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</row>
    <row r="19">
      <c r="A19" s="4" t="inlineStr">
        <is>
          <t>Total de seguidores</t>
        </is>
      </c>
      <c r="B19" s="14" t="n">
        <v>22094</v>
      </c>
      <c r="C19" s="14" t="n">
        <v>22435</v>
      </c>
      <c r="D19" s="15" t="n">
        <v>23323</v>
      </c>
    </row>
    <row r="20">
      <c r="A20" s="4" t="inlineStr">
        <is>
          <t>Impresiones totales</t>
        </is>
      </c>
      <c r="B20" s="145" t="n">
        <v>93679</v>
      </c>
      <c r="C20" s="145" t="n">
        <v>88915</v>
      </c>
      <c r="D20" s="145" t="n">
        <v>158365</v>
      </c>
    </row>
    <row r="21">
      <c r="A21" s="4" t="inlineStr">
        <is>
          <t>Reacciones totales</t>
        </is>
      </c>
      <c r="B21" s="145" t="n">
        <v>1401</v>
      </c>
      <c r="C21" s="145" t="n">
        <v>1551</v>
      </c>
      <c r="D21" s="145" t="n">
        <v>3196</v>
      </c>
    </row>
    <row r="22">
      <c r="A22" s="3" t="inlineStr">
        <is>
          <t>Engagement rate (rango de entre 3% y 5%)</t>
        </is>
      </c>
      <c r="B22" s="79">
        <f>B21/B20</f>
        <v/>
      </c>
      <c r="C22" s="79">
        <f>C21/C20</f>
        <v/>
      </c>
      <c r="D22" s="79">
        <f>D21/D20</f>
        <v/>
      </c>
    </row>
    <row r="23" hidden="1" s="162">
      <c r="A23" s="52" t="inlineStr">
        <is>
          <t>Boletín</t>
        </is>
      </c>
      <c r="B23" s="52" t="n"/>
      <c r="C23" s="52" t="n"/>
      <c r="D23" s="52" t="n"/>
      <c r="E23" s="52" t="n"/>
      <c r="F23" s="52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</row>
    <row r="24" hidden="1" s="162">
      <c r="A24" s="96" t="inlineStr">
        <is>
          <t>Número de suscritos (enviados)</t>
        </is>
      </c>
    </row>
    <row r="25" hidden="1" s="162">
      <c r="A25" s="96" t="inlineStr">
        <is>
          <t>Número de correos entregados</t>
        </is>
      </c>
    </row>
    <row r="26" hidden="1" s="162">
      <c r="A26" s="96" t="inlineStr">
        <is>
          <t>Número de correos abiertos (únicos)</t>
        </is>
      </c>
    </row>
    <row r="27" hidden="1" s="162">
      <c r="A27" s="96" t="inlineStr">
        <is>
          <t>Open rate (número de abiertos únicos / número de entregados) - meta: arriba del 20.39% promedio del sector nonprofits.</t>
        </is>
      </c>
    </row>
    <row r="28" hidden="1" s="162">
      <c r="A28" s="96" t="inlineStr">
        <is>
          <t>Click-Through Rate (CTR) (total único de clicks/total de abiertos únicos) - (CTOR)</t>
        </is>
      </c>
    </row>
    <row r="29">
      <c r="A29" s="52" t="inlineStr">
        <is>
          <t>TikTok</t>
        </is>
      </c>
      <c r="B29" s="52" t="n"/>
      <c r="C29" s="52" t="n"/>
      <c r="D29" s="52" t="n"/>
      <c r="E29" s="52" t="n"/>
      <c r="F29" s="52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</row>
    <row r="30">
      <c r="A30" s="4" t="inlineStr">
        <is>
          <t>Número de seguidores</t>
        </is>
      </c>
      <c r="B30" s="14" t="n">
        <v>3324</v>
      </c>
      <c r="C30" s="14" t="n">
        <v>3412</v>
      </c>
      <c r="D30" s="15" t="n">
        <v>3936</v>
      </c>
    </row>
    <row r="31">
      <c r="A31" s="4" t="inlineStr">
        <is>
          <t>Visualizaciones</t>
        </is>
      </c>
      <c r="B31" s="145" t="n">
        <v>26093</v>
      </c>
      <c r="C31" s="145" t="n">
        <v>27600</v>
      </c>
      <c r="D31" s="145" t="n">
        <v>133173</v>
      </c>
    </row>
    <row r="32">
      <c r="A32" s="4" t="inlineStr">
        <is>
          <t>Me gusta</t>
        </is>
      </c>
      <c r="B32" s="100" t="n">
        <v>707</v>
      </c>
      <c r="C32" s="100" t="n">
        <v>920</v>
      </c>
      <c r="D32" s="145" t="n">
        <v>10671</v>
      </c>
    </row>
    <row r="33">
      <c r="A33" s="3" t="inlineStr">
        <is>
          <t>Engagement rate (rango de entre 3% y 5%)</t>
        </is>
      </c>
      <c r="B33" s="79">
        <f>B32/B31</f>
        <v/>
      </c>
      <c r="C33" s="79">
        <f>C32/C31</f>
        <v/>
      </c>
      <c r="D33" s="79">
        <f>D32/D31</f>
        <v/>
      </c>
    </row>
    <row r="34" hidden="1" s="162">
      <c r="A34" s="52" t="inlineStr">
        <is>
          <t>Youtube</t>
        </is>
      </c>
      <c r="B34" s="52" t="n"/>
      <c r="C34" s="52" t="n"/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</row>
    <row r="35" hidden="1" s="162">
      <c r="A35" s="46" t="inlineStr">
        <is>
          <t>Suscriptores</t>
        </is>
      </c>
    </row>
    <row r="36" hidden="1" s="162">
      <c r="A36" s="4" t="inlineStr">
        <is>
          <t>Tiempo de reproducción / horas</t>
        </is>
      </c>
    </row>
    <row r="37" hidden="1" s="162">
      <c r="A37" s="4" t="inlineStr">
        <is>
          <t>Vistas/interacción</t>
        </is>
      </c>
    </row>
    <row r="38">
      <c r="A38" s="52" t="inlineStr">
        <is>
          <t>Youtube</t>
        </is>
      </c>
      <c r="B38" s="52" t="n"/>
      <c r="C38" s="52" t="n"/>
      <c r="D38" s="52" t="n"/>
      <c r="E38" s="52" t="n"/>
      <c r="F38" s="52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</row>
    <row r="39">
      <c r="A39" s="97" t="inlineStr">
        <is>
          <t>Vistas</t>
        </is>
      </c>
      <c r="B39" s="100" t="n">
        <v>6862</v>
      </c>
      <c r="C39" s="100" t="n">
        <v>15890</v>
      </c>
      <c r="D39" s="100" t="n">
        <v>34785</v>
      </c>
      <c r="E39" s="100" t="n">
        <v>13246</v>
      </c>
    </row>
    <row r="40">
      <c r="A40" s="98" t="inlineStr">
        <is>
          <t>Horas de visualizacion</t>
        </is>
      </c>
      <c r="B40" s="100" t="n">
        <v>130.4</v>
      </c>
      <c r="C40" s="100" t="n">
        <v>128.2</v>
      </c>
      <c r="D40" s="100" t="n">
        <v>385.9</v>
      </c>
      <c r="E40" s="100" t="n">
        <v>128.6</v>
      </c>
    </row>
    <row r="41">
      <c r="A41" s="98" t="inlineStr">
        <is>
          <t>Nuevos subscriptores</t>
        </is>
      </c>
      <c r="B41" s="100" t="n">
        <v>23</v>
      </c>
      <c r="C41" s="100" t="n">
        <v>19</v>
      </c>
      <c r="D41" s="100" t="n">
        <v>40</v>
      </c>
      <c r="E41" s="100" t="n">
        <v>33</v>
      </c>
    </row>
    <row r="42">
      <c r="A42" s="52" t="inlineStr">
        <is>
          <t>Boletín</t>
        </is>
      </c>
      <c r="B42" s="52" t="n"/>
      <c r="C42" s="52" t="n"/>
      <c r="D42" s="52" t="n"/>
      <c r="E42" s="52" t="n"/>
      <c r="F42" s="52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</row>
    <row r="43">
      <c r="A43" s="100" t="inlineStr">
        <is>
          <t>Entregados</t>
        </is>
      </c>
      <c r="B43" s="145" t="n">
        <v>54025</v>
      </c>
      <c r="C43" s="145" t="n">
        <v>51916</v>
      </c>
      <c r="D43" s="145" t="n">
        <v>55259</v>
      </c>
    </row>
    <row r="44">
      <c r="A44" s="99" t="inlineStr">
        <is>
          <t>Apertura</t>
        </is>
      </c>
      <c r="B44" s="145" t="n">
        <v>28942</v>
      </c>
      <c r="C44" s="145" t="n">
        <v>28304</v>
      </c>
      <c r="D44" s="145" t="n">
        <v>28314</v>
      </c>
    </row>
    <row r="45">
      <c r="A45" s="4" t="inlineStr">
        <is>
          <t>Clics</t>
        </is>
      </c>
      <c r="B45" s="145" t="n">
        <v>1484</v>
      </c>
      <c r="C45" s="145" t="n">
        <v>1092</v>
      </c>
      <c r="D45" s="145" t="n">
        <v>1322</v>
      </c>
    </row>
    <row r="46">
      <c r="A46" s="52" t="inlineStr">
        <is>
          <t>Página Web</t>
        </is>
      </c>
      <c r="B46" s="52" t="n"/>
      <c r="C46" s="52" t="n"/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</row>
    <row r="47">
      <c r="A47" s="97" t="inlineStr">
        <is>
          <t>Vistas</t>
        </is>
      </c>
      <c r="B47" s="100">
        <f>188797+161422</f>
        <v/>
      </c>
      <c r="C47" s="100">
        <f>18200+11075</f>
        <v/>
      </c>
      <c r="D47" s="100">
        <f>12315+213727</f>
        <v/>
      </c>
    </row>
    <row r="48">
      <c r="A48" s="4" t="inlineStr">
        <is>
          <t>Descargas</t>
        </is>
      </c>
      <c r="B48" s="100" t="n">
        <v>4684</v>
      </c>
      <c r="C48" s="100" t="n">
        <v>4659</v>
      </c>
      <c r="D48" s="100" t="n">
        <v>5502</v>
      </c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17.25" customWidth="1" style="162" min="2" max="3"/>
    <col width="17.5" customWidth="1" style="162" min="4" max="4"/>
    <col width="25" customWidth="1" style="162" min="5" max="5"/>
    <col width="28.38" customWidth="1" style="162" min="6" max="6"/>
    <col width="30.5" customWidth="1" style="162" min="7" max="8"/>
    <col width="21.38" customWidth="1" style="162" min="9" max="9"/>
  </cols>
  <sheetData>
    <row r="1">
      <c r="A1" s="101" t="inlineStr">
        <is>
          <t>Red social</t>
        </is>
      </c>
      <c r="B1" s="102" t="inlineStr">
        <is>
          <t>Seguidores actuales</t>
        </is>
      </c>
      <c r="C1" s="101" t="inlineStr">
        <is>
          <t>Crecimiento 2025</t>
        </is>
      </c>
      <c r="D1" s="103" t="inlineStr">
        <is>
          <t>Crecimiento 2026</t>
        </is>
      </c>
      <c r="E1" s="101" t="inlineStr">
        <is>
          <t>Nuevos followers / mes (meta)</t>
        </is>
      </c>
      <c r="F1" s="104" t="inlineStr">
        <is>
          <t>Seguidores estimados fin de año</t>
        </is>
      </c>
      <c r="G1" s="101" t="inlineStr">
        <is>
          <t>Alcance mensual esperado</t>
        </is>
      </c>
      <c r="H1" s="104" t="inlineStr">
        <is>
          <t>Alcance anual esperado</t>
        </is>
      </c>
      <c r="I1" s="103" t="inlineStr">
        <is>
          <t>Alcance 2025</t>
        </is>
      </c>
    </row>
    <row r="2">
      <c r="A2" s="105" t="inlineStr">
        <is>
          <t>Facebook</t>
        </is>
      </c>
      <c r="B2" s="140" t="n">
        <v>135044</v>
      </c>
      <c r="C2" s="140" t="n">
        <v>2975</v>
      </c>
      <c r="D2" s="107">
        <f>F2-B2</f>
        <v/>
      </c>
      <c r="E2" s="112" t="n">
        <v>315</v>
      </c>
      <c r="F2" s="109" t="n">
        <v>138824</v>
      </c>
      <c r="G2" s="110" t="n">
        <v>250000</v>
      </c>
      <c r="H2" s="109">
        <f>G2*12</f>
        <v/>
      </c>
      <c r="I2" s="107" t="n">
        <v>2462698</v>
      </c>
    </row>
    <row r="3">
      <c r="A3" s="105" t="inlineStr">
        <is>
          <t>Twitter / X</t>
        </is>
      </c>
      <c r="B3" s="140" t="n">
        <v>145071</v>
      </c>
      <c r="C3" s="140" t="n">
        <v>-331</v>
      </c>
      <c r="D3" s="111">
        <f>150*12</f>
        <v/>
      </c>
      <c r="E3" s="112" t="n">
        <v>150</v>
      </c>
      <c r="F3" s="109" t="n">
        <v>148071</v>
      </c>
      <c r="G3" s="110" t="n">
        <v>320000</v>
      </c>
      <c r="H3" s="109">
        <f>G3*12</f>
        <v/>
      </c>
      <c r="I3" s="111" t="n">
        <v>3211378</v>
      </c>
    </row>
    <row r="4">
      <c r="A4" s="105" t="inlineStr">
        <is>
          <t>Instagram</t>
        </is>
      </c>
      <c r="B4" s="140" t="n">
        <v>14409</v>
      </c>
      <c r="C4" s="140" t="n">
        <v>3105</v>
      </c>
      <c r="D4" s="107">
        <f>F4-B4</f>
        <v/>
      </c>
      <c r="E4" s="112">
        <f>+510</f>
        <v/>
      </c>
      <c r="F4" s="109" t="n">
        <v>20529</v>
      </c>
      <c r="G4" s="110" t="n">
        <v>180000</v>
      </c>
      <c r="H4" s="109">
        <f>G4*12</f>
        <v/>
      </c>
      <c r="I4" s="107" t="n">
        <v>1144520</v>
      </c>
    </row>
    <row r="5">
      <c r="A5" s="105" t="inlineStr">
        <is>
          <t>LinkedIn</t>
        </is>
      </c>
      <c r="B5" s="140" t="n">
        <v>21760</v>
      </c>
      <c r="C5" s="140" t="n">
        <v>4123</v>
      </c>
      <c r="D5" s="107">
        <f>F5-B5</f>
        <v/>
      </c>
      <c r="E5" s="112" t="n">
        <v>375</v>
      </c>
      <c r="F5" s="109" t="n">
        <v>26260</v>
      </c>
      <c r="G5" s="110" t="n">
        <v>85000</v>
      </c>
      <c r="H5" s="109">
        <f>G5*12</f>
        <v/>
      </c>
      <c r="I5" s="107" t="n">
        <v>788563</v>
      </c>
    </row>
    <row r="6">
      <c r="A6" s="105" t="inlineStr">
        <is>
          <t>TikTok</t>
        </is>
      </c>
      <c r="B6" s="140" t="n">
        <v>3089</v>
      </c>
      <c r="C6" s="140" t="n">
        <v>447</v>
      </c>
      <c r="D6" s="107">
        <f>F6-B6</f>
        <v/>
      </c>
      <c r="E6" s="112" t="n">
        <v>250</v>
      </c>
      <c r="F6" s="109" t="n">
        <v>6089</v>
      </c>
      <c r="G6" s="110" t="n">
        <v>50000</v>
      </c>
      <c r="H6" s="109">
        <f>G6*12</f>
        <v/>
      </c>
      <c r="I6" s="107" t="n">
        <v>339221</v>
      </c>
    </row>
    <row r="7">
      <c r="A7" s="100" t="inlineStr">
        <is>
          <t>Youtube</t>
        </is>
      </c>
      <c r="F7" s="113" t="n"/>
      <c r="H7" s="114" t="n"/>
    </row>
    <row r="8">
      <c r="F8" s="113" t="n"/>
      <c r="H8" s="114" t="n"/>
    </row>
    <row r="9">
      <c r="B9" s="105" t="inlineStr">
        <is>
          <t>Facebook</t>
        </is>
      </c>
      <c r="C9" s="140" t="n">
        <v>135044</v>
      </c>
      <c r="D9" s="107" t="n">
        <v>3780</v>
      </c>
      <c r="F9" s="113" t="n"/>
      <c r="H9" s="114" t="n"/>
    </row>
    <row r="10">
      <c r="B10" s="105" t="inlineStr">
        <is>
          <t>Twitter / X</t>
        </is>
      </c>
      <c r="C10" s="140" t="n">
        <v>145071</v>
      </c>
      <c r="D10" s="111" t="n">
        <v>1800</v>
      </c>
      <c r="F10" s="113" t="n"/>
      <c r="H10" s="114" t="n"/>
    </row>
    <row r="11">
      <c r="B11" s="105" t="inlineStr">
        <is>
          <t>Instagram</t>
        </is>
      </c>
      <c r="C11" s="140" t="n">
        <v>14409</v>
      </c>
      <c r="D11" s="107" t="n">
        <v>6120</v>
      </c>
      <c r="F11" s="113" t="n"/>
      <c r="H11" s="114" t="n"/>
    </row>
    <row r="12">
      <c r="B12" s="105" t="inlineStr">
        <is>
          <t>LinkedIn</t>
        </is>
      </c>
      <c r="C12" s="140" t="n">
        <v>21760</v>
      </c>
      <c r="D12" s="107" t="n">
        <v>4500</v>
      </c>
      <c r="F12" s="113" t="n"/>
      <c r="H12" s="114" t="n"/>
    </row>
    <row r="13">
      <c r="B13" s="105" t="inlineStr">
        <is>
          <t>TikTok</t>
        </is>
      </c>
      <c r="C13" s="140" t="n">
        <v>3089</v>
      </c>
      <c r="D13" s="107" t="n">
        <v>3000</v>
      </c>
      <c r="F13" s="113" t="n"/>
      <c r="H13" s="114" t="n"/>
    </row>
    <row r="14">
      <c r="B14" s="100" t="inlineStr">
        <is>
          <t>Youtube</t>
        </is>
      </c>
      <c r="F14" s="113" t="n"/>
      <c r="H14" s="114" t="n"/>
    </row>
    <row r="15">
      <c r="B15" s="105" t="inlineStr">
        <is>
          <t>Facebook</t>
        </is>
      </c>
      <c r="C15" s="140" t="n">
        <v>138824</v>
      </c>
      <c r="F15" s="113" t="n"/>
      <c r="H15" s="114" t="n"/>
    </row>
    <row r="16">
      <c r="B16" s="105" t="inlineStr">
        <is>
          <t>Twitter / X</t>
        </is>
      </c>
      <c r="C16" s="140" t="n">
        <v>148071</v>
      </c>
      <c r="F16" s="113" t="n"/>
      <c r="H16" s="114" t="n"/>
    </row>
    <row r="17">
      <c r="B17" s="105" t="inlineStr">
        <is>
          <t>Instagram</t>
        </is>
      </c>
      <c r="C17" s="140" t="n">
        <v>20529</v>
      </c>
      <c r="F17" s="113" t="n"/>
      <c r="H17" s="114" t="n"/>
    </row>
    <row r="18">
      <c r="B18" s="105" t="inlineStr">
        <is>
          <t>LinkedIn</t>
        </is>
      </c>
      <c r="C18" s="140" t="n">
        <v>26260</v>
      </c>
      <c r="F18" s="113" t="n"/>
      <c r="H18" s="114" t="n"/>
    </row>
    <row r="19">
      <c r="B19" s="105" t="inlineStr">
        <is>
          <t>TikTok</t>
        </is>
      </c>
      <c r="C19" s="140" t="n">
        <v>6089</v>
      </c>
      <c r="F19" s="113" t="n"/>
      <c r="H19" s="114" t="n"/>
    </row>
    <row r="20">
      <c r="B20" s="100" t="inlineStr">
        <is>
          <t>Youtube</t>
        </is>
      </c>
      <c r="F20" s="113" t="n"/>
      <c r="H20" s="114" t="n"/>
    </row>
    <row r="21">
      <c r="F21" s="113" t="n"/>
      <c r="H21" s="114" t="n"/>
    </row>
    <row r="22">
      <c r="F22" s="113" t="n"/>
      <c r="H22" s="114" t="n"/>
    </row>
    <row r="23">
      <c r="F23" s="113" t="n"/>
      <c r="H23" s="114" t="n"/>
    </row>
    <row r="24">
      <c r="F24" s="113" t="n"/>
      <c r="H24" s="114" t="n"/>
    </row>
    <row r="25">
      <c r="F25" s="113" t="n"/>
      <c r="H25" s="114" t="n"/>
    </row>
    <row r="26">
      <c r="F26" s="113" t="n"/>
      <c r="H26" s="114" t="n"/>
    </row>
    <row r="27">
      <c r="F27" s="113" t="n"/>
      <c r="H27" s="114" t="n"/>
    </row>
    <row r="28">
      <c r="F28" s="113" t="n"/>
      <c r="H28" s="114" t="n"/>
    </row>
    <row r="29">
      <c r="F29" s="113" t="n"/>
      <c r="H29" s="114" t="n"/>
    </row>
    <row r="30">
      <c r="F30" s="113" t="n"/>
      <c r="H30" s="114" t="n"/>
    </row>
    <row r="31">
      <c r="F31" s="113" t="n"/>
      <c r="H31" s="114" t="n"/>
    </row>
    <row r="32">
      <c r="F32" s="113" t="n"/>
      <c r="H32" s="114" t="n"/>
    </row>
    <row r="33">
      <c r="F33" s="113" t="n"/>
      <c r="H33" s="114" t="n"/>
    </row>
    <row r="34">
      <c r="F34" s="113" t="n"/>
      <c r="H34" s="114" t="n"/>
    </row>
    <row r="35">
      <c r="F35" s="113" t="n"/>
      <c r="H35" s="114" t="n"/>
    </row>
    <row r="36">
      <c r="F36" s="113" t="n"/>
      <c r="H36" s="114" t="n"/>
    </row>
    <row r="37">
      <c r="F37" s="113" t="n"/>
      <c r="H37" s="114" t="n"/>
    </row>
    <row r="38">
      <c r="F38" s="113" t="n"/>
      <c r="H38" s="114" t="n"/>
    </row>
    <row r="39">
      <c r="F39" s="113" t="n"/>
      <c r="H39" s="114" t="n"/>
    </row>
    <row r="40">
      <c r="F40" s="113" t="n"/>
      <c r="H40" s="114" t="n"/>
    </row>
    <row r="41">
      <c r="F41" s="113" t="n"/>
      <c r="H41" s="114" t="n"/>
    </row>
    <row r="42">
      <c r="F42" s="113" t="n"/>
      <c r="H42" s="114" t="n"/>
    </row>
    <row r="43">
      <c r="F43" s="113" t="n"/>
      <c r="H43" s="114" t="n"/>
    </row>
    <row r="44">
      <c r="F44" s="113" t="n"/>
      <c r="H44" s="114" t="n"/>
    </row>
    <row r="45">
      <c r="F45" s="113" t="n"/>
      <c r="H45" s="114" t="n"/>
    </row>
    <row r="46">
      <c r="F46" s="113" t="n"/>
      <c r="H46" s="114" t="n"/>
    </row>
    <row r="47">
      <c r="F47" s="113" t="n"/>
      <c r="H47" s="114" t="n"/>
    </row>
    <row r="48">
      <c r="F48" s="113" t="n"/>
      <c r="H48" s="114" t="n"/>
    </row>
    <row r="49">
      <c r="F49" s="113" t="n"/>
      <c r="H49" s="114" t="n"/>
    </row>
    <row r="50">
      <c r="F50" s="113" t="n"/>
      <c r="H50" s="114" t="n"/>
    </row>
    <row r="51">
      <c r="F51" s="113" t="n"/>
      <c r="H51" s="114" t="n"/>
    </row>
    <row r="52">
      <c r="F52" s="113" t="n"/>
      <c r="H52" s="114" t="n"/>
    </row>
    <row r="53">
      <c r="F53" s="113" t="n"/>
      <c r="H53" s="114" t="n"/>
    </row>
    <row r="54">
      <c r="F54" s="113" t="n"/>
      <c r="H54" s="114" t="n"/>
    </row>
    <row r="55">
      <c r="F55" s="113" t="n"/>
      <c r="H55" s="114" t="n"/>
    </row>
    <row r="56">
      <c r="F56" s="113" t="n"/>
      <c r="H56" s="114" t="n"/>
    </row>
    <row r="57">
      <c r="F57" s="113" t="n"/>
      <c r="H57" s="114" t="n"/>
    </row>
    <row r="58">
      <c r="F58" s="113" t="n"/>
      <c r="H58" s="114" t="n"/>
    </row>
    <row r="59">
      <c r="F59" s="113" t="n"/>
      <c r="H59" s="114" t="n"/>
    </row>
    <row r="60">
      <c r="F60" s="113" t="n"/>
      <c r="H60" s="114" t="n"/>
    </row>
    <row r="61">
      <c r="F61" s="113" t="n"/>
      <c r="H61" s="114" t="n"/>
    </row>
    <row r="62">
      <c r="F62" s="113" t="n"/>
      <c r="H62" s="114" t="n"/>
    </row>
    <row r="63">
      <c r="F63" s="113" t="n"/>
      <c r="H63" s="114" t="n"/>
    </row>
    <row r="64">
      <c r="F64" s="113" t="n"/>
      <c r="H64" s="114" t="n"/>
    </row>
    <row r="65">
      <c r="F65" s="113" t="n"/>
      <c r="H65" s="114" t="n"/>
    </row>
    <row r="66">
      <c r="F66" s="113" t="n"/>
      <c r="H66" s="114" t="n"/>
    </row>
    <row r="67">
      <c r="F67" s="113" t="n"/>
      <c r="H67" s="114" t="n"/>
    </row>
    <row r="68">
      <c r="F68" s="113" t="n"/>
      <c r="H68" s="114" t="n"/>
    </row>
    <row r="69">
      <c r="F69" s="113" t="n"/>
      <c r="H69" s="114" t="n"/>
    </row>
    <row r="70">
      <c r="F70" s="113" t="n"/>
      <c r="H70" s="114" t="n"/>
    </row>
    <row r="71">
      <c r="F71" s="113" t="n"/>
      <c r="H71" s="114" t="n"/>
    </row>
    <row r="72">
      <c r="F72" s="113" t="n"/>
      <c r="H72" s="114" t="n"/>
    </row>
    <row r="73">
      <c r="F73" s="113" t="n"/>
      <c r="H73" s="114" t="n"/>
    </row>
    <row r="74">
      <c r="F74" s="113" t="n"/>
      <c r="H74" s="114" t="n"/>
    </row>
    <row r="75">
      <c r="F75" s="113" t="n"/>
      <c r="H75" s="114" t="n"/>
    </row>
    <row r="76">
      <c r="F76" s="113" t="n"/>
      <c r="H76" s="114" t="n"/>
    </row>
    <row r="77">
      <c r="F77" s="113" t="n"/>
      <c r="H77" s="114" t="n"/>
    </row>
    <row r="78">
      <c r="F78" s="113" t="n"/>
      <c r="H78" s="114" t="n"/>
    </row>
    <row r="79">
      <c r="F79" s="113" t="n"/>
      <c r="H79" s="114" t="n"/>
    </row>
    <row r="80">
      <c r="F80" s="113" t="n"/>
      <c r="H80" s="114" t="n"/>
    </row>
    <row r="81">
      <c r="F81" s="113" t="n"/>
      <c r="H81" s="114" t="n"/>
    </row>
    <row r="82">
      <c r="F82" s="113" t="n"/>
      <c r="H82" s="114" t="n"/>
    </row>
    <row r="83">
      <c r="F83" s="113" t="n"/>
      <c r="H83" s="114" t="n"/>
    </row>
    <row r="84">
      <c r="F84" s="113" t="n"/>
      <c r="H84" s="114" t="n"/>
    </row>
    <row r="85">
      <c r="F85" s="113" t="n"/>
      <c r="H85" s="114" t="n"/>
    </row>
    <row r="86">
      <c r="F86" s="113" t="n"/>
      <c r="H86" s="114" t="n"/>
    </row>
    <row r="87">
      <c r="F87" s="113" t="n"/>
      <c r="H87" s="114" t="n"/>
    </row>
    <row r="88">
      <c r="F88" s="113" t="n"/>
      <c r="H88" s="114" t="n"/>
    </row>
    <row r="89">
      <c r="F89" s="113" t="n"/>
      <c r="H89" s="114" t="n"/>
    </row>
    <row r="90">
      <c r="F90" s="113" t="n"/>
      <c r="H90" s="114" t="n"/>
    </row>
    <row r="91">
      <c r="F91" s="113" t="n"/>
      <c r="H91" s="114" t="n"/>
    </row>
    <row r="92">
      <c r="F92" s="113" t="n"/>
      <c r="H92" s="114" t="n"/>
    </row>
    <row r="93">
      <c r="F93" s="113" t="n"/>
      <c r="H93" s="114" t="n"/>
    </row>
    <row r="94">
      <c r="F94" s="113" t="n"/>
      <c r="H94" s="114" t="n"/>
    </row>
    <row r="95">
      <c r="F95" s="113" t="n"/>
      <c r="H95" s="114" t="n"/>
    </row>
    <row r="96">
      <c r="F96" s="113" t="n"/>
      <c r="H96" s="114" t="n"/>
    </row>
    <row r="97">
      <c r="F97" s="113" t="n"/>
      <c r="H97" s="114" t="n"/>
    </row>
    <row r="98">
      <c r="F98" s="113" t="n"/>
      <c r="H98" s="114" t="n"/>
    </row>
    <row r="99">
      <c r="F99" s="113" t="n"/>
      <c r="H99" s="114" t="n"/>
    </row>
    <row r="100">
      <c r="F100" s="113" t="n"/>
      <c r="H100" s="114" t="n"/>
    </row>
    <row r="101">
      <c r="F101" s="113" t="n"/>
      <c r="H101" s="114" t="n"/>
    </row>
    <row r="102">
      <c r="F102" s="113" t="n"/>
      <c r="H102" s="114" t="n"/>
    </row>
    <row r="103">
      <c r="F103" s="113" t="n"/>
      <c r="H103" s="114" t="n"/>
    </row>
    <row r="104">
      <c r="F104" s="113" t="n"/>
      <c r="H104" s="114" t="n"/>
    </row>
    <row r="105">
      <c r="F105" s="113" t="n"/>
      <c r="H105" s="114" t="n"/>
    </row>
    <row r="106">
      <c r="F106" s="113" t="n"/>
      <c r="H106" s="114" t="n"/>
    </row>
    <row r="107">
      <c r="F107" s="113" t="n"/>
      <c r="H107" s="114" t="n"/>
    </row>
    <row r="108">
      <c r="F108" s="113" t="n"/>
      <c r="H108" s="114" t="n"/>
    </row>
    <row r="109">
      <c r="F109" s="113" t="n"/>
      <c r="H109" s="114" t="n"/>
    </row>
    <row r="110">
      <c r="F110" s="113" t="n"/>
      <c r="H110" s="114" t="n"/>
    </row>
    <row r="111">
      <c r="F111" s="113" t="n"/>
      <c r="H111" s="114" t="n"/>
    </row>
    <row r="112">
      <c r="F112" s="113" t="n"/>
      <c r="H112" s="114" t="n"/>
    </row>
    <row r="113">
      <c r="F113" s="113" t="n"/>
      <c r="H113" s="114" t="n"/>
    </row>
    <row r="114">
      <c r="F114" s="113" t="n"/>
      <c r="H114" s="114" t="n"/>
    </row>
    <row r="115">
      <c r="F115" s="113" t="n"/>
      <c r="H115" s="114" t="n"/>
    </row>
    <row r="116">
      <c r="F116" s="113" t="n"/>
      <c r="H116" s="114" t="n"/>
    </row>
    <row r="117">
      <c r="F117" s="113" t="n"/>
      <c r="H117" s="114" t="n"/>
    </row>
    <row r="118">
      <c r="F118" s="113" t="n"/>
      <c r="H118" s="114" t="n"/>
    </row>
    <row r="119">
      <c r="F119" s="113" t="n"/>
      <c r="H119" s="114" t="n"/>
    </row>
    <row r="120">
      <c r="F120" s="113" t="n"/>
      <c r="H120" s="114" t="n"/>
    </row>
    <row r="121">
      <c r="F121" s="113" t="n"/>
      <c r="H121" s="114" t="n"/>
    </row>
    <row r="122">
      <c r="F122" s="113" t="n"/>
      <c r="H122" s="114" t="n"/>
    </row>
    <row r="123">
      <c r="F123" s="113" t="n"/>
      <c r="H123" s="114" t="n"/>
    </row>
    <row r="124">
      <c r="F124" s="113" t="n"/>
      <c r="H124" s="114" t="n"/>
    </row>
    <row r="125">
      <c r="F125" s="113" t="n"/>
      <c r="H125" s="114" t="n"/>
    </row>
    <row r="126">
      <c r="F126" s="113" t="n"/>
      <c r="H126" s="114" t="n"/>
    </row>
    <row r="127">
      <c r="F127" s="113" t="n"/>
      <c r="H127" s="114" t="n"/>
    </row>
    <row r="128">
      <c r="F128" s="113" t="n"/>
      <c r="H128" s="114" t="n"/>
    </row>
    <row r="129">
      <c r="F129" s="113" t="n"/>
      <c r="H129" s="114" t="n"/>
    </row>
    <row r="130">
      <c r="F130" s="113" t="n"/>
      <c r="H130" s="114" t="n"/>
    </row>
    <row r="131">
      <c r="F131" s="113" t="n"/>
      <c r="H131" s="114" t="n"/>
    </row>
    <row r="132">
      <c r="F132" s="113" t="n"/>
      <c r="H132" s="114" t="n"/>
    </row>
    <row r="133">
      <c r="F133" s="113" t="n"/>
      <c r="H133" s="114" t="n"/>
    </row>
    <row r="134">
      <c r="F134" s="113" t="n"/>
      <c r="H134" s="114" t="n"/>
    </row>
    <row r="135">
      <c r="F135" s="113" t="n"/>
      <c r="H135" s="114" t="n"/>
    </row>
    <row r="136">
      <c r="F136" s="113" t="n"/>
      <c r="H136" s="114" t="n"/>
    </row>
    <row r="137">
      <c r="F137" s="113" t="n"/>
      <c r="H137" s="114" t="n"/>
    </row>
    <row r="138">
      <c r="F138" s="113" t="n"/>
      <c r="H138" s="114" t="n"/>
    </row>
    <row r="139">
      <c r="F139" s="113" t="n"/>
      <c r="H139" s="114" t="n"/>
    </row>
    <row r="140">
      <c r="F140" s="113" t="n"/>
      <c r="H140" s="114" t="n"/>
    </row>
    <row r="141">
      <c r="F141" s="113" t="n"/>
      <c r="H141" s="114" t="n"/>
    </row>
    <row r="142">
      <c r="F142" s="113" t="n"/>
      <c r="H142" s="114" t="n"/>
    </row>
    <row r="143">
      <c r="F143" s="113" t="n"/>
      <c r="H143" s="114" t="n"/>
    </row>
    <row r="144">
      <c r="F144" s="113" t="n"/>
      <c r="H144" s="114" t="n"/>
    </row>
    <row r="145">
      <c r="F145" s="113" t="n"/>
      <c r="H145" s="114" t="n"/>
    </row>
    <row r="146">
      <c r="F146" s="113" t="n"/>
      <c r="H146" s="114" t="n"/>
    </row>
    <row r="147">
      <c r="F147" s="113" t="n"/>
      <c r="H147" s="114" t="n"/>
    </row>
    <row r="148">
      <c r="F148" s="113" t="n"/>
      <c r="H148" s="114" t="n"/>
    </row>
    <row r="149">
      <c r="F149" s="113" t="n"/>
      <c r="H149" s="114" t="n"/>
    </row>
    <row r="150">
      <c r="F150" s="113" t="n"/>
      <c r="H150" s="114" t="n"/>
    </row>
    <row r="151">
      <c r="F151" s="113" t="n"/>
      <c r="H151" s="114" t="n"/>
    </row>
    <row r="152">
      <c r="F152" s="113" t="n"/>
      <c r="H152" s="114" t="n"/>
    </row>
    <row r="153">
      <c r="F153" s="113" t="n"/>
      <c r="H153" s="114" t="n"/>
    </row>
    <row r="154">
      <c r="F154" s="113" t="n"/>
      <c r="H154" s="114" t="n"/>
    </row>
    <row r="155">
      <c r="F155" s="113" t="n"/>
      <c r="H155" s="114" t="n"/>
    </row>
    <row r="156">
      <c r="F156" s="113" t="n"/>
      <c r="H156" s="114" t="n"/>
    </row>
    <row r="157">
      <c r="F157" s="113" t="n"/>
      <c r="H157" s="114" t="n"/>
    </row>
    <row r="158">
      <c r="F158" s="113" t="n"/>
      <c r="H158" s="114" t="n"/>
    </row>
    <row r="159">
      <c r="F159" s="113" t="n"/>
      <c r="H159" s="114" t="n"/>
    </row>
    <row r="160">
      <c r="F160" s="113" t="n"/>
      <c r="H160" s="114" t="n"/>
    </row>
    <row r="161">
      <c r="F161" s="113" t="n"/>
      <c r="H161" s="114" t="n"/>
    </row>
    <row r="162">
      <c r="F162" s="113" t="n"/>
      <c r="H162" s="114" t="n"/>
    </row>
    <row r="163">
      <c r="F163" s="113" t="n"/>
      <c r="H163" s="114" t="n"/>
    </row>
    <row r="164">
      <c r="F164" s="113" t="n"/>
      <c r="H164" s="114" t="n"/>
    </row>
    <row r="165">
      <c r="F165" s="113" t="n"/>
      <c r="H165" s="114" t="n"/>
    </row>
    <row r="166">
      <c r="F166" s="113" t="n"/>
      <c r="H166" s="114" t="n"/>
    </row>
    <row r="167">
      <c r="F167" s="113" t="n"/>
      <c r="H167" s="114" t="n"/>
    </row>
    <row r="168">
      <c r="F168" s="113" t="n"/>
      <c r="H168" s="114" t="n"/>
    </row>
    <row r="169">
      <c r="F169" s="113" t="n"/>
      <c r="H169" s="114" t="n"/>
    </row>
    <row r="170">
      <c r="F170" s="113" t="n"/>
      <c r="H170" s="114" t="n"/>
    </row>
    <row r="171">
      <c r="F171" s="113" t="n"/>
      <c r="H171" s="114" t="n"/>
    </row>
    <row r="172">
      <c r="F172" s="113" t="n"/>
      <c r="H172" s="114" t="n"/>
    </row>
    <row r="173">
      <c r="F173" s="113" t="n"/>
      <c r="H173" s="114" t="n"/>
    </row>
    <row r="174">
      <c r="F174" s="113" t="n"/>
      <c r="H174" s="114" t="n"/>
    </row>
    <row r="175">
      <c r="F175" s="113" t="n"/>
      <c r="H175" s="114" t="n"/>
    </row>
    <row r="176">
      <c r="F176" s="113" t="n"/>
      <c r="H176" s="114" t="n"/>
    </row>
    <row r="177">
      <c r="F177" s="113" t="n"/>
      <c r="H177" s="114" t="n"/>
    </row>
    <row r="178">
      <c r="F178" s="113" t="n"/>
      <c r="H178" s="114" t="n"/>
    </row>
    <row r="179">
      <c r="F179" s="113" t="n"/>
      <c r="H179" s="114" t="n"/>
    </row>
    <row r="180">
      <c r="F180" s="113" t="n"/>
      <c r="H180" s="114" t="n"/>
    </row>
    <row r="181">
      <c r="F181" s="113" t="n"/>
      <c r="H181" s="114" t="n"/>
    </row>
    <row r="182">
      <c r="F182" s="113" t="n"/>
      <c r="H182" s="114" t="n"/>
    </row>
    <row r="183">
      <c r="F183" s="113" t="n"/>
      <c r="H183" s="114" t="n"/>
    </row>
    <row r="184">
      <c r="F184" s="113" t="n"/>
      <c r="H184" s="114" t="n"/>
    </row>
    <row r="185">
      <c r="F185" s="113" t="n"/>
      <c r="H185" s="114" t="n"/>
    </row>
    <row r="186">
      <c r="F186" s="113" t="n"/>
      <c r="H186" s="114" t="n"/>
    </row>
    <row r="187">
      <c r="F187" s="113" t="n"/>
      <c r="H187" s="114" t="n"/>
    </row>
    <row r="188">
      <c r="F188" s="113" t="n"/>
      <c r="H188" s="114" t="n"/>
    </row>
    <row r="189">
      <c r="F189" s="113" t="n"/>
      <c r="H189" s="114" t="n"/>
    </row>
    <row r="190">
      <c r="F190" s="113" t="n"/>
      <c r="H190" s="114" t="n"/>
    </row>
    <row r="191">
      <c r="F191" s="113" t="n"/>
      <c r="H191" s="114" t="n"/>
    </row>
    <row r="192">
      <c r="F192" s="113" t="n"/>
      <c r="H192" s="114" t="n"/>
    </row>
    <row r="193">
      <c r="F193" s="113" t="n"/>
      <c r="H193" s="114" t="n"/>
    </row>
    <row r="194">
      <c r="F194" s="113" t="n"/>
      <c r="H194" s="114" t="n"/>
    </row>
    <row r="195">
      <c r="F195" s="113" t="n"/>
      <c r="H195" s="114" t="n"/>
    </row>
    <row r="196">
      <c r="F196" s="113" t="n"/>
      <c r="H196" s="114" t="n"/>
    </row>
    <row r="197">
      <c r="F197" s="113" t="n"/>
      <c r="H197" s="114" t="n"/>
    </row>
    <row r="198">
      <c r="F198" s="113" t="n"/>
      <c r="H198" s="114" t="n"/>
    </row>
    <row r="199">
      <c r="F199" s="113" t="n"/>
      <c r="H199" s="114" t="n"/>
    </row>
    <row r="200">
      <c r="F200" s="113" t="n"/>
      <c r="H200" s="114" t="n"/>
    </row>
    <row r="201">
      <c r="F201" s="113" t="n"/>
      <c r="H201" s="114" t="n"/>
    </row>
    <row r="202">
      <c r="F202" s="113" t="n"/>
      <c r="H202" s="114" t="n"/>
    </row>
    <row r="203">
      <c r="F203" s="113" t="n"/>
      <c r="H203" s="114" t="n"/>
    </row>
    <row r="204">
      <c r="F204" s="113" t="n"/>
      <c r="H204" s="114" t="n"/>
    </row>
    <row r="205">
      <c r="F205" s="113" t="n"/>
      <c r="H205" s="114" t="n"/>
    </row>
    <row r="206">
      <c r="F206" s="113" t="n"/>
      <c r="H206" s="114" t="n"/>
    </row>
    <row r="207">
      <c r="F207" s="113" t="n"/>
      <c r="H207" s="114" t="n"/>
    </row>
    <row r="208">
      <c r="F208" s="113" t="n"/>
      <c r="H208" s="114" t="n"/>
    </row>
    <row r="209">
      <c r="F209" s="113" t="n"/>
      <c r="H209" s="114" t="n"/>
    </row>
    <row r="210">
      <c r="F210" s="113" t="n"/>
      <c r="H210" s="114" t="n"/>
    </row>
    <row r="211">
      <c r="F211" s="113" t="n"/>
      <c r="H211" s="114" t="n"/>
    </row>
    <row r="212">
      <c r="F212" s="113" t="n"/>
      <c r="H212" s="114" t="n"/>
    </row>
    <row r="213">
      <c r="F213" s="113" t="n"/>
      <c r="H213" s="114" t="n"/>
    </row>
    <row r="214">
      <c r="F214" s="113" t="n"/>
      <c r="H214" s="114" t="n"/>
    </row>
    <row r="215">
      <c r="F215" s="113" t="n"/>
      <c r="H215" s="114" t="n"/>
    </row>
    <row r="216">
      <c r="F216" s="113" t="n"/>
      <c r="H216" s="114" t="n"/>
    </row>
    <row r="217">
      <c r="F217" s="113" t="n"/>
      <c r="H217" s="114" t="n"/>
    </row>
    <row r="218">
      <c r="F218" s="113" t="n"/>
      <c r="H218" s="114" t="n"/>
    </row>
    <row r="219">
      <c r="F219" s="113" t="n"/>
      <c r="H219" s="114" t="n"/>
    </row>
    <row r="220">
      <c r="F220" s="113" t="n"/>
      <c r="H220" s="114" t="n"/>
    </row>
    <row r="221">
      <c r="F221" s="113" t="n"/>
      <c r="H221" s="114" t="n"/>
    </row>
    <row r="222">
      <c r="F222" s="113" t="n"/>
      <c r="H222" s="114" t="n"/>
    </row>
    <row r="223">
      <c r="F223" s="113" t="n"/>
      <c r="H223" s="114" t="n"/>
    </row>
    <row r="224">
      <c r="F224" s="113" t="n"/>
      <c r="H224" s="114" t="n"/>
    </row>
    <row r="225">
      <c r="F225" s="113" t="n"/>
      <c r="H225" s="114" t="n"/>
    </row>
    <row r="226">
      <c r="F226" s="113" t="n"/>
      <c r="H226" s="114" t="n"/>
    </row>
    <row r="227">
      <c r="F227" s="113" t="n"/>
      <c r="H227" s="114" t="n"/>
    </row>
    <row r="228">
      <c r="F228" s="113" t="n"/>
      <c r="H228" s="114" t="n"/>
    </row>
    <row r="229">
      <c r="F229" s="113" t="n"/>
      <c r="H229" s="114" t="n"/>
    </row>
    <row r="230">
      <c r="F230" s="113" t="n"/>
      <c r="H230" s="114" t="n"/>
    </row>
    <row r="231">
      <c r="F231" s="113" t="n"/>
      <c r="H231" s="114" t="n"/>
    </row>
    <row r="232">
      <c r="F232" s="113" t="n"/>
      <c r="H232" s="114" t="n"/>
    </row>
    <row r="233">
      <c r="F233" s="113" t="n"/>
      <c r="H233" s="114" t="n"/>
    </row>
    <row r="234">
      <c r="F234" s="113" t="n"/>
      <c r="H234" s="114" t="n"/>
    </row>
    <row r="235">
      <c r="F235" s="113" t="n"/>
      <c r="H235" s="114" t="n"/>
    </row>
    <row r="236">
      <c r="F236" s="113" t="n"/>
      <c r="H236" s="114" t="n"/>
    </row>
    <row r="237">
      <c r="F237" s="113" t="n"/>
      <c r="H237" s="114" t="n"/>
    </row>
    <row r="238">
      <c r="F238" s="113" t="n"/>
      <c r="H238" s="114" t="n"/>
    </row>
    <row r="239">
      <c r="F239" s="113" t="n"/>
      <c r="H239" s="114" t="n"/>
    </row>
    <row r="240">
      <c r="F240" s="113" t="n"/>
      <c r="H240" s="114" t="n"/>
    </row>
    <row r="241">
      <c r="F241" s="113" t="n"/>
      <c r="H241" s="114" t="n"/>
    </row>
    <row r="242">
      <c r="F242" s="113" t="n"/>
      <c r="H242" s="114" t="n"/>
    </row>
    <row r="243">
      <c r="F243" s="113" t="n"/>
      <c r="H243" s="114" t="n"/>
    </row>
    <row r="244">
      <c r="F244" s="113" t="n"/>
      <c r="H244" s="114" t="n"/>
    </row>
    <row r="245">
      <c r="F245" s="113" t="n"/>
      <c r="H245" s="114" t="n"/>
    </row>
    <row r="246">
      <c r="F246" s="113" t="n"/>
      <c r="H246" s="114" t="n"/>
    </row>
    <row r="247">
      <c r="F247" s="113" t="n"/>
      <c r="H247" s="114" t="n"/>
    </row>
    <row r="248">
      <c r="F248" s="113" t="n"/>
      <c r="H248" s="114" t="n"/>
    </row>
    <row r="249">
      <c r="F249" s="113" t="n"/>
      <c r="H249" s="114" t="n"/>
    </row>
    <row r="250">
      <c r="F250" s="113" t="n"/>
      <c r="H250" s="114" t="n"/>
    </row>
    <row r="251">
      <c r="F251" s="113" t="n"/>
      <c r="H251" s="114" t="n"/>
    </row>
    <row r="252">
      <c r="F252" s="113" t="n"/>
      <c r="H252" s="114" t="n"/>
    </row>
    <row r="253">
      <c r="F253" s="113" t="n"/>
      <c r="H253" s="114" t="n"/>
    </row>
    <row r="254">
      <c r="F254" s="113" t="n"/>
      <c r="H254" s="114" t="n"/>
    </row>
    <row r="255">
      <c r="F255" s="113" t="n"/>
      <c r="H255" s="114" t="n"/>
    </row>
    <row r="256">
      <c r="F256" s="113" t="n"/>
      <c r="H256" s="114" t="n"/>
    </row>
    <row r="257">
      <c r="F257" s="113" t="n"/>
      <c r="H257" s="114" t="n"/>
    </row>
    <row r="258">
      <c r="F258" s="113" t="n"/>
      <c r="H258" s="114" t="n"/>
    </row>
    <row r="259">
      <c r="F259" s="113" t="n"/>
      <c r="H259" s="114" t="n"/>
    </row>
    <row r="260">
      <c r="F260" s="113" t="n"/>
      <c r="H260" s="114" t="n"/>
    </row>
    <row r="261">
      <c r="F261" s="113" t="n"/>
      <c r="H261" s="114" t="n"/>
    </row>
    <row r="262">
      <c r="F262" s="113" t="n"/>
      <c r="H262" s="114" t="n"/>
    </row>
    <row r="263">
      <c r="F263" s="113" t="n"/>
      <c r="H263" s="114" t="n"/>
    </row>
    <row r="264">
      <c r="F264" s="113" t="n"/>
      <c r="H264" s="114" t="n"/>
    </row>
    <row r="265">
      <c r="F265" s="113" t="n"/>
      <c r="H265" s="114" t="n"/>
    </row>
    <row r="266">
      <c r="F266" s="113" t="n"/>
      <c r="H266" s="114" t="n"/>
    </row>
    <row r="267">
      <c r="F267" s="113" t="n"/>
      <c r="H267" s="114" t="n"/>
    </row>
    <row r="268">
      <c r="F268" s="113" t="n"/>
      <c r="H268" s="114" t="n"/>
    </row>
    <row r="269">
      <c r="F269" s="113" t="n"/>
      <c r="H269" s="114" t="n"/>
    </row>
    <row r="270">
      <c r="F270" s="113" t="n"/>
      <c r="H270" s="114" t="n"/>
    </row>
    <row r="271">
      <c r="F271" s="113" t="n"/>
      <c r="H271" s="114" t="n"/>
    </row>
    <row r="272">
      <c r="F272" s="113" t="n"/>
      <c r="H272" s="114" t="n"/>
    </row>
    <row r="273">
      <c r="F273" s="113" t="n"/>
      <c r="H273" s="114" t="n"/>
    </row>
    <row r="274">
      <c r="F274" s="113" t="n"/>
      <c r="H274" s="114" t="n"/>
    </row>
    <row r="275">
      <c r="F275" s="113" t="n"/>
      <c r="H275" s="114" t="n"/>
    </row>
    <row r="276">
      <c r="F276" s="113" t="n"/>
      <c r="H276" s="114" t="n"/>
    </row>
    <row r="277">
      <c r="F277" s="113" t="n"/>
      <c r="H277" s="114" t="n"/>
    </row>
    <row r="278">
      <c r="F278" s="113" t="n"/>
      <c r="H278" s="114" t="n"/>
    </row>
    <row r="279">
      <c r="F279" s="113" t="n"/>
      <c r="H279" s="114" t="n"/>
    </row>
    <row r="280">
      <c r="F280" s="113" t="n"/>
      <c r="H280" s="114" t="n"/>
    </row>
    <row r="281">
      <c r="F281" s="113" t="n"/>
      <c r="H281" s="114" t="n"/>
    </row>
    <row r="282">
      <c r="F282" s="113" t="n"/>
      <c r="H282" s="114" t="n"/>
    </row>
    <row r="283">
      <c r="F283" s="113" t="n"/>
      <c r="H283" s="114" t="n"/>
    </row>
    <row r="284">
      <c r="F284" s="113" t="n"/>
      <c r="H284" s="114" t="n"/>
    </row>
    <row r="285">
      <c r="F285" s="113" t="n"/>
      <c r="H285" s="114" t="n"/>
    </row>
    <row r="286">
      <c r="F286" s="113" t="n"/>
      <c r="H286" s="114" t="n"/>
    </row>
    <row r="287">
      <c r="F287" s="113" t="n"/>
      <c r="H287" s="114" t="n"/>
    </row>
    <row r="288">
      <c r="F288" s="113" t="n"/>
      <c r="H288" s="114" t="n"/>
    </row>
    <row r="289">
      <c r="F289" s="113" t="n"/>
      <c r="H289" s="114" t="n"/>
    </row>
    <row r="290">
      <c r="F290" s="113" t="n"/>
      <c r="H290" s="114" t="n"/>
    </row>
    <row r="291">
      <c r="F291" s="113" t="n"/>
      <c r="H291" s="114" t="n"/>
    </row>
    <row r="292">
      <c r="F292" s="113" t="n"/>
      <c r="H292" s="114" t="n"/>
    </row>
    <row r="293">
      <c r="F293" s="113" t="n"/>
      <c r="H293" s="114" t="n"/>
    </row>
    <row r="294">
      <c r="F294" s="113" t="n"/>
      <c r="H294" s="114" t="n"/>
    </row>
    <row r="295">
      <c r="F295" s="113" t="n"/>
      <c r="H295" s="114" t="n"/>
    </row>
    <row r="296">
      <c r="F296" s="113" t="n"/>
      <c r="H296" s="114" t="n"/>
    </row>
    <row r="297">
      <c r="F297" s="113" t="n"/>
      <c r="H297" s="114" t="n"/>
    </row>
    <row r="298">
      <c r="F298" s="113" t="n"/>
      <c r="H298" s="114" t="n"/>
    </row>
    <row r="299">
      <c r="F299" s="113" t="n"/>
      <c r="H299" s="114" t="n"/>
    </row>
    <row r="300">
      <c r="F300" s="113" t="n"/>
      <c r="H300" s="114" t="n"/>
    </row>
    <row r="301">
      <c r="F301" s="113" t="n"/>
      <c r="H301" s="114" t="n"/>
    </row>
    <row r="302">
      <c r="F302" s="113" t="n"/>
      <c r="H302" s="114" t="n"/>
    </row>
    <row r="303">
      <c r="F303" s="113" t="n"/>
      <c r="H303" s="114" t="n"/>
    </row>
    <row r="304">
      <c r="F304" s="113" t="n"/>
      <c r="H304" s="114" t="n"/>
    </row>
    <row r="305">
      <c r="F305" s="113" t="n"/>
      <c r="H305" s="114" t="n"/>
    </row>
    <row r="306">
      <c r="F306" s="113" t="n"/>
      <c r="H306" s="114" t="n"/>
    </row>
    <row r="307">
      <c r="F307" s="113" t="n"/>
      <c r="H307" s="114" t="n"/>
    </row>
    <row r="308">
      <c r="F308" s="113" t="n"/>
      <c r="H308" s="114" t="n"/>
    </row>
    <row r="309">
      <c r="F309" s="113" t="n"/>
      <c r="H309" s="114" t="n"/>
    </row>
    <row r="310">
      <c r="F310" s="113" t="n"/>
      <c r="H310" s="114" t="n"/>
    </row>
    <row r="311">
      <c r="F311" s="113" t="n"/>
      <c r="H311" s="114" t="n"/>
    </row>
    <row r="312">
      <c r="F312" s="113" t="n"/>
      <c r="H312" s="114" t="n"/>
    </row>
    <row r="313">
      <c r="F313" s="113" t="n"/>
      <c r="H313" s="114" t="n"/>
    </row>
    <row r="314">
      <c r="F314" s="113" t="n"/>
      <c r="H314" s="114" t="n"/>
    </row>
    <row r="315">
      <c r="F315" s="113" t="n"/>
      <c r="H315" s="114" t="n"/>
    </row>
    <row r="316">
      <c r="F316" s="113" t="n"/>
      <c r="H316" s="114" t="n"/>
    </row>
    <row r="317">
      <c r="F317" s="113" t="n"/>
      <c r="H317" s="114" t="n"/>
    </row>
    <row r="318">
      <c r="F318" s="113" t="n"/>
      <c r="H318" s="114" t="n"/>
    </row>
    <row r="319">
      <c r="F319" s="113" t="n"/>
      <c r="H319" s="114" t="n"/>
    </row>
    <row r="320">
      <c r="F320" s="113" t="n"/>
      <c r="H320" s="114" t="n"/>
    </row>
    <row r="321">
      <c r="F321" s="113" t="n"/>
      <c r="H321" s="114" t="n"/>
    </row>
    <row r="322">
      <c r="F322" s="113" t="n"/>
      <c r="H322" s="114" t="n"/>
    </row>
    <row r="323">
      <c r="F323" s="113" t="n"/>
      <c r="H323" s="114" t="n"/>
    </row>
    <row r="324">
      <c r="F324" s="113" t="n"/>
      <c r="H324" s="114" t="n"/>
    </row>
    <row r="325">
      <c r="F325" s="113" t="n"/>
      <c r="H325" s="114" t="n"/>
    </row>
    <row r="326">
      <c r="F326" s="113" t="n"/>
      <c r="H326" s="114" t="n"/>
    </row>
    <row r="327">
      <c r="F327" s="113" t="n"/>
      <c r="H327" s="114" t="n"/>
    </row>
    <row r="328">
      <c r="F328" s="113" t="n"/>
      <c r="H328" s="114" t="n"/>
    </row>
    <row r="329">
      <c r="F329" s="113" t="n"/>
      <c r="H329" s="114" t="n"/>
    </row>
    <row r="330">
      <c r="F330" s="113" t="n"/>
      <c r="H330" s="114" t="n"/>
    </row>
    <row r="331">
      <c r="F331" s="113" t="n"/>
      <c r="H331" s="114" t="n"/>
    </row>
    <row r="332">
      <c r="F332" s="113" t="n"/>
      <c r="H332" s="114" t="n"/>
    </row>
    <row r="333">
      <c r="F333" s="113" t="n"/>
      <c r="H333" s="114" t="n"/>
    </row>
    <row r="334">
      <c r="F334" s="113" t="n"/>
      <c r="H334" s="114" t="n"/>
    </row>
    <row r="335">
      <c r="F335" s="113" t="n"/>
      <c r="H335" s="114" t="n"/>
    </row>
    <row r="336">
      <c r="F336" s="113" t="n"/>
      <c r="H336" s="114" t="n"/>
    </row>
    <row r="337">
      <c r="F337" s="113" t="n"/>
      <c r="H337" s="114" t="n"/>
    </row>
    <row r="338">
      <c r="F338" s="113" t="n"/>
      <c r="H338" s="114" t="n"/>
    </row>
    <row r="339">
      <c r="F339" s="113" t="n"/>
      <c r="H339" s="114" t="n"/>
    </row>
    <row r="340">
      <c r="F340" s="113" t="n"/>
      <c r="H340" s="114" t="n"/>
    </row>
    <row r="341">
      <c r="F341" s="113" t="n"/>
      <c r="H341" s="114" t="n"/>
    </row>
    <row r="342">
      <c r="F342" s="113" t="n"/>
      <c r="H342" s="114" t="n"/>
    </row>
    <row r="343">
      <c r="F343" s="113" t="n"/>
      <c r="H343" s="114" t="n"/>
    </row>
    <row r="344">
      <c r="F344" s="113" t="n"/>
      <c r="H344" s="114" t="n"/>
    </row>
    <row r="345">
      <c r="F345" s="113" t="n"/>
      <c r="H345" s="114" t="n"/>
    </row>
    <row r="346">
      <c r="F346" s="113" t="n"/>
      <c r="H346" s="114" t="n"/>
    </row>
    <row r="347">
      <c r="F347" s="113" t="n"/>
      <c r="H347" s="114" t="n"/>
    </row>
    <row r="348">
      <c r="F348" s="113" t="n"/>
      <c r="H348" s="114" t="n"/>
    </row>
    <row r="349">
      <c r="F349" s="113" t="n"/>
      <c r="H349" s="114" t="n"/>
    </row>
    <row r="350">
      <c r="F350" s="113" t="n"/>
      <c r="H350" s="114" t="n"/>
    </row>
    <row r="351">
      <c r="F351" s="113" t="n"/>
      <c r="H351" s="114" t="n"/>
    </row>
    <row r="352">
      <c r="F352" s="113" t="n"/>
      <c r="H352" s="114" t="n"/>
    </row>
    <row r="353">
      <c r="F353" s="113" t="n"/>
      <c r="H353" s="114" t="n"/>
    </row>
    <row r="354">
      <c r="F354" s="113" t="n"/>
      <c r="H354" s="114" t="n"/>
    </row>
    <row r="355">
      <c r="F355" s="113" t="n"/>
      <c r="H355" s="114" t="n"/>
    </row>
    <row r="356">
      <c r="F356" s="113" t="n"/>
      <c r="H356" s="114" t="n"/>
    </row>
    <row r="357">
      <c r="F357" s="113" t="n"/>
      <c r="H357" s="114" t="n"/>
    </row>
    <row r="358">
      <c r="F358" s="113" t="n"/>
      <c r="H358" s="114" t="n"/>
    </row>
    <row r="359">
      <c r="F359" s="113" t="n"/>
      <c r="H359" s="114" t="n"/>
    </row>
    <row r="360">
      <c r="F360" s="113" t="n"/>
      <c r="H360" s="114" t="n"/>
    </row>
    <row r="361">
      <c r="F361" s="113" t="n"/>
      <c r="H361" s="114" t="n"/>
    </row>
    <row r="362">
      <c r="F362" s="113" t="n"/>
      <c r="H362" s="114" t="n"/>
    </row>
    <row r="363">
      <c r="F363" s="113" t="n"/>
      <c r="H363" s="114" t="n"/>
    </row>
    <row r="364">
      <c r="F364" s="113" t="n"/>
      <c r="H364" s="114" t="n"/>
    </row>
    <row r="365">
      <c r="F365" s="113" t="n"/>
      <c r="H365" s="114" t="n"/>
    </row>
    <row r="366">
      <c r="F366" s="113" t="n"/>
      <c r="H366" s="114" t="n"/>
    </row>
    <row r="367">
      <c r="F367" s="113" t="n"/>
      <c r="H367" s="114" t="n"/>
    </row>
    <row r="368">
      <c r="F368" s="113" t="n"/>
      <c r="H368" s="114" t="n"/>
    </row>
    <row r="369">
      <c r="F369" s="113" t="n"/>
      <c r="H369" s="114" t="n"/>
    </row>
    <row r="370">
      <c r="F370" s="113" t="n"/>
      <c r="H370" s="114" t="n"/>
    </row>
    <row r="371">
      <c r="F371" s="113" t="n"/>
      <c r="H371" s="114" t="n"/>
    </row>
    <row r="372">
      <c r="F372" s="113" t="n"/>
      <c r="H372" s="114" t="n"/>
    </row>
    <row r="373">
      <c r="F373" s="113" t="n"/>
      <c r="H373" s="114" t="n"/>
    </row>
    <row r="374">
      <c r="F374" s="113" t="n"/>
      <c r="H374" s="114" t="n"/>
    </row>
    <row r="375">
      <c r="F375" s="113" t="n"/>
      <c r="H375" s="114" t="n"/>
    </row>
    <row r="376">
      <c r="F376" s="113" t="n"/>
      <c r="H376" s="114" t="n"/>
    </row>
    <row r="377">
      <c r="F377" s="113" t="n"/>
      <c r="H377" s="114" t="n"/>
    </row>
    <row r="378">
      <c r="F378" s="113" t="n"/>
      <c r="H378" s="114" t="n"/>
    </row>
    <row r="379">
      <c r="F379" s="113" t="n"/>
      <c r="H379" s="114" t="n"/>
    </row>
    <row r="380">
      <c r="F380" s="113" t="n"/>
      <c r="H380" s="114" t="n"/>
    </row>
    <row r="381">
      <c r="F381" s="113" t="n"/>
      <c r="H381" s="114" t="n"/>
    </row>
    <row r="382">
      <c r="F382" s="113" t="n"/>
      <c r="H382" s="114" t="n"/>
    </row>
    <row r="383">
      <c r="F383" s="113" t="n"/>
      <c r="H383" s="114" t="n"/>
    </row>
    <row r="384">
      <c r="F384" s="113" t="n"/>
      <c r="H384" s="114" t="n"/>
    </row>
    <row r="385">
      <c r="F385" s="113" t="n"/>
      <c r="H385" s="114" t="n"/>
    </row>
    <row r="386">
      <c r="F386" s="113" t="n"/>
      <c r="H386" s="114" t="n"/>
    </row>
    <row r="387">
      <c r="F387" s="113" t="n"/>
      <c r="H387" s="114" t="n"/>
    </row>
    <row r="388">
      <c r="F388" s="113" t="n"/>
      <c r="H388" s="114" t="n"/>
    </row>
    <row r="389">
      <c r="F389" s="113" t="n"/>
      <c r="H389" s="114" t="n"/>
    </row>
    <row r="390">
      <c r="F390" s="113" t="n"/>
      <c r="H390" s="114" t="n"/>
    </row>
    <row r="391">
      <c r="F391" s="113" t="n"/>
      <c r="H391" s="114" t="n"/>
    </row>
    <row r="392">
      <c r="F392" s="113" t="n"/>
      <c r="H392" s="114" t="n"/>
    </row>
    <row r="393">
      <c r="F393" s="113" t="n"/>
      <c r="H393" s="114" t="n"/>
    </row>
    <row r="394">
      <c r="F394" s="113" t="n"/>
      <c r="H394" s="114" t="n"/>
    </row>
    <row r="395">
      <c r="F395" s="113" t="n"/>
      <c r="H395" s="114" t="n"/>
    </row>
    <row r="396">
      <c r="F396" s="113" t="n"/>
      <c r="H396" s="114" t="n"/>
    </row>
    <row r="397">
      <c r="F397" s="113" t="n"/>
      <c r="H397" s="114" t="n"/>
    </row>
    <row r="398">
      <c r="F398" s="113" t="n"/>
      <c r="H398" s="114" t="n"/>
    </row>
    <row r="399">
      <c r="F399" s="113" t="n"/>
      <c r="H399" s="114" t="n"/>
    </row>
    <row r="400">
      <c r="F400" s="113" t="n"/>
      <c r="H400" s="114" t="n"/>
    </row>
    <row r="401">
      <c r="F401" s="113" t="n"/>
      <c r="H401" s="114" t="n"/>
    </row>
    <row r="402">
      <c r="F402" s="113" t="n"/>
      <c r="H402" s="114" t="n"/>
    </row>
    <row r="403">
      <c r="F403" s="113" t="n"/>
      <c r="H403" s="114" t="n"/>
    </row>
    <row r="404">
      <c r="F404" s="113" t="n"/>
      <c r="H404" s="114" t="n"/>
    </row>
    <row r="405">
      <c r="F405" s="113" t="n"/>
      <c r="H405" s="114" t="n"/>
    </row>
    <row r="406">
      <c r="F406" s="113" t="n"/>
      <c r="H406" s="114" t="n"/>
    </row>
    <row r="407">
      <c r="F407" s="113" t="n"/>
      <c r="H407" s="114" t="n"/>
    </row>
    <row r="408">
      <c r="F408" s="113" t="n"/>
      <c r="H408" s="114" t="n"/>
    </row>
    <row r="409">
      <c r="F409" s="113" t="n"/>
      <c r="H409" s="114" t="n"/>
    </row>
    <row r="410">
      <c r="F410" s="113" t="n"/>
      <c r="H410" s="114" t="n"/>
    </row>
    <row r="411">
      <c r="F411" s="113" t="n"/>
      <c r="H411" s="114" t="n"/>
    </row>
    <row r="412">
      <c r="F412" s="113" t="n"/>
      <c r="H412" s="114" t="n"/>
    </row>
    <row r="413">
      <c r="F413" s="113" t="n"/>
      <c r="H413" s="114" t="n"/>
    </row>
    <row r="414">
      <c r="F414" s="113" t="n"/>
      <c r="H414" s="114" t="n"/>
    </row>
    <row r="415">
      <c r="F415" s="113" t="n"/>
      <c r="H415" s="114" t="n"/>
    </row>
    <row r="416">
      <c r="F416" s="113" t="n"/>
      <c r="H416" s="114" t="n"/>
    </row>
    <row r="417">
      <c r="F417" s="113" t="n"/>
      <c r="H417" s="114" t="n"/>
    </row>
    <row r="418">
      <c r="F418" s="113" t="n"/>
      <c r="H418" s="114" t="n"/>
    </row>
    <row r="419">
      <c r="F419" s="113" t="n"/>
      <c r="H419" s="114" t="n"/>
    </row>
    <row r="420">
      <c r="F420" s="113" t="n"/>
      <c r="H420" s="114" t="n"/>
    </row>
    <row r="421">
      <c r="F421" s="113" t="n"/>
      <c r="H421" s="114" t="n"/>
    </row>
    <row r="422">
      <c r="F422" s="113" t="n"/>
      <c r="H422" s="114" t="n"/>
    </row>
    <row r="423">
      <c r="F423" s="113" t="n"/>
      <c r="H423" s="114" t="n"/>
    </row>
    <row r="424">
      <c r="F424" s="113" t="n"/>
      <c r="H424" s="114" t="n"/>
    </row>
    <row r="425">
      <c r="F425" s="113" t="n"/>
      <c r="H425" s="114" t="n"/>
    </row>
    <row r="426">
      <c r="F426" s="113" t="n"/>
      <c r="H426" s="114" t="n"/>
    </row>
    <row r="427">
      <c r="F427" s="113" t="n"/>
      <c r="H427" s="114" t="n"/>
    </row>
    <row r="428">
      <c r="F428" s="113" t="n"/>
      <c r="H428" s="114" t="n"/>
    </row>
    <row r="429">
      <c r="F429" s="113" t="n"/>
      <c r="H429" s="114" t="n"/>
    </row>
    <row r="430">
      <c r="F430" s="113" t="n"/>
      <c r="H430" s="114" t="n"/>
    </row>
    <row r="431">
      <c r="F431" s="113" t="n"/>
      <c r="H431" s="114" t="n"/>
    </row>
    <row r="432">
      <c r="F432" s="113" t="n"/>
      <c r="H432" s="114" t="n"/>
    </row>
    <row r="433">
      <c r="F433" s="113" t="n"/>
      <c r="H433" s="114" t="n"/>
    </row>
    <row r="434">
      <c r="F434" s="113" t="n"/>
      <c r="H434" s="114" t="n"/>
    </row>
    <row r="435">
      <c r="F435" s="113" t="n"/>
      <c r="H435" s="114" t="n"/>
    </row>
    <row r="436">
      <c r="F436" s="113" t="n"/>
      <c r="H436" s="114" t="n"/>
    </row>
    <row r="437">
      <c r="F437" s="113" t="n"/>
      <c r="H437" s="114" t="n"/>
    </row>
    <row r="438">
      <c r="F438" s="113" t="n"/>
      <c r="H438" s="114" t="n"/>
    </row>
    <row r="439">
      <c r="F439" s="113" t="n"/>
      <c r="H439" s="114" t="n"/>
    </row>
    <row r="440">
      <c r="F440" s="113" t="n"/>
      <c r="H440" s="114" t="n"/>
    </row>
    <row r="441">
      <c r="F441" s="113" t="n"/>
      <c r="H441" s="114" t="n"/>
    </row>
    <row r="442">
      <c r="F442" s="113" t="n"/>
      <c r="H442" s="114" t="n"/>
    </row>
    <row r="443">
      <c r="F443" s="113" t="n"/>
      <c r="H443" s="114" t="n"/>
    </row>
    <row r="444">
      <c r="F444" s="113" t="n"/>
      <c r="H444" s="114" t="n"/>
    </row>
    <row r="445">
      <c r="F445" s="113" t="n"/>
      <c r="H445" s="114" t="n"/>
    </row>
    <row r="446">
      <c r="F446" s="113" t="n"/>
      <c r="H446" s="114" t="n"/>
    </row>
    <row r="447">
      <c r="F447" s="113" t="n"/>
      <c r="H447" s="114" t="n"/>
    </row>
    <row r="448">
      <c r="F448" s="113" t="n"/>
      <c r="H448" s="114" t="n"/>
    </row>
    <row r="449">
      <c r="F449" s="113" t="n"/>
      <c r="H449" s="114" t="n"/>
    </row>
    <row r="450">
      <c r="F450" s="113" t="n"/>
      <c r="H450" s="114" t="n"/>
    </row>
    <row r="451">
      <c r="F451" s="113" t="n"/>
      <c r="H451" s="114" t="n"/>
    </row>
    <row r="452">
      <c r="F452" s="113" t="n"/>
      <c r="H452" s="114" t="n"/>
    </row>
    <row r="453">
      <c r="F453" s="113" t="n"/>
      <c r="H453" s="114" t="n"/>
    </row>
    <row r="454">
      <c r="F454" s="113" t="n"/>
      <c r="H454" s="114" t="n"/>
    </row>
    <row r="455">
      <c r="F455" s="113" t="n"/>
      <c r="H455" s="114" t="n"/>
    </row>
    <row r="456">
      <c r="F456" s="113" t="n"/>
      <c r="H456" s="114" t="n"/>
    </row>
    <row r="457">
      <c r="F457" s="113" t="n"/>
      <c r="H457" s="114" t="n"/>
    </row>
    <row r="458">
      <c r="F458" s="113" t="n"/>
      <c r="H458" s="114" t="n"/>
    </row>
    <row r="459">
      <c r="F459" s="113" t="n"/>
      <c r="H459" s="114" t="n"/>
    </row>
    <row r="460">
      <c r="F460" s="113" t="n"/>
      <c r="H460" s="114" t="n"/>
    </row>
    <row r="461">
      <c r="F461" s="113" t="n"/>
      <c r="H461" s="114" t="n"/>
    </row>
    <row r="462">
      <c r="F462" s="113" t="n"/>
      <c r="H462" s="114" t="n"/>
    </row>
    <row r="463">
      <c r="F463" s="113" t="n"/>
      <c r="H463" s="114" t="n"/>
    </row>
    <row r="464">
      <c r="F464" s="113" t="n"/>
      <c r="H464" s="114" t="n"/>
    </row>
    <row r="465">
      <c r="F465" s="113" t="n"/>
      <c r="H465" s="114" t="n"/>
    </row>
    <row r="466">
      <c r="F466" s="113" t="n"/>
      <c r="H466" s="114" t="n"/>
    </row>
    <row r="467">
      <c r="F467" s="113" t="n"/>
      <c r="H467" s="114" t="n"/>
    </row>
    <row r="468">
      <c r="F468" s="113" t="n"/>
      <c r="H468" s="114" t="n"/>
    </row>
    <row r="469">
      <c r="F469" s="113" t="n"/>
      <c r="H469" s="114" t="n"/>
    </row>
    <row r="470">
      <c r="F470" s="113" t="n"/>
      <c r="H470" s="114" t="n"/>
    </row>
    <row r="471">
      <c r="F471" s="113" t="n"/>
      <c r="H471" s="114" t="n"/>
    </row>
    <row r="472">
      <c r="F472" s="113" t="n"/>
      <c r="H472" s="114" t="n"/>
    </row>
    <row r="473">
      <c r="F473" s="113" t="n"/>
      <c r="H473" s="114" t="n"/>
    </row>
    <row r="474">
      <c r="F474" s="113" t="n"/>
      <c r="H474" s="114" t="n"/>
    </row>
    <row r="475">
      <c r="F475" s="113" t="n"/>
      <c r="H475" s="114" t="n"/>
    </row>
    <row r="476">
      <c r="F476" s="113" t="n"/>
      <c r="H476" s="114" t="n"/>
    </row>
    <row r="477">
      <c r="F477" s="113" t="n"/>
      <c r="H477" s="114" t="n"/>
    </row>
    <row r="478">
      <c r="F478" s="113" t="n"/>
      <c r="H478" s="114" t="n"/>
    </row>
    <row r="479">
      <c r="F479" s="113" t="n"/>
      <c r="H479" s="114" t="n"/>
    </row>
    <row r="480">
      <c r="F480" s="113" t="n"/>
      <c r="H480" s="114" t="n"/>
    </row>
    <row r="481">
      <c r="F481" s="113" t="n"/>
      <c r="H481" s="114" t="n"/>
    </row>
    <row r="482">
      <c r="F482" s="113" t="n"/>
      <c r="H482" s="114" t="n"/>
    </row>
    <row r="483">
      <c r="F483" s="113" t="n"/>
      <c r="H483" s="114" t="n"/>
    </row>
    <row r="484">
      <c r="F484" s="113" t="n"/>
      <c r="H484" s="114" t="n"/>
    </row>
    <row r="485">
      <c r="F485" s="113" t="n"/>
      <c r="H485" s="114" t="n"/>
    </row>
    <row r="486">
      <c r="F486" s="113" t="n"/>
      <c r="H486" s="114" t="n"/>
    </row>
    <row r="487">
      <c r="F487" s="113" t="n"/>
      <c r="H487" s="114" t="n"/>
    </row>
    <row r="488">
      <c r="F488" s="113" t="n"/>
      <c r="H488" s="114" t="n"/>
    </row>
    <row r="489">
      <c r="F489" s="113" t="n"/>
      <c r="H489" s="114" t="n"/>
    </row>
    <row r="490">
      <c r="F490" s="113" t="n"/>
      <c r="H490" s="114" t="n"/>
    </row>
    <row r="491">
      <c r="F491" s="113" t="n"/>
      <c r="H491" s="114" t="n"/>
    </row>
    <row r="492">
      <c r="F492" s="113" t="n"/>
      <c r="H492" s="114" t="n"/>
    </row>
    <row r="493">
      <c r="F493" s="113" t="n"/>
      <c r="H493" s="114" t="n"/>
    </row>
    <row r="494">
      <c r="F494" s="113" t="n"/>
      <c r="H494" s="114" t="n"/>
    </row>
    <row r="495">
      <c r="F495" s="113" t="n"/>
      <c r="H495" s="114" t="n"/>
    </row>
    <row r="496">
      <c r="F496" s="113" t="n"/>
      <c r="H496" s="114" t="n"/>
    </row>
    <row r="497">
      <c r="F497" s="113" t="n"/>
      <c r="H497" s="114" t="n"/>
    </row>
    <row r="498">
      <c r="F498" s="113" t="n"/>
      <c r="H498" s="114" t="n"/>
    </row>
    <row r="499">
      <c r="F499" s="113" t="n"/>
      <c r="H499" s="114" t="n"/>
    </row>
    <row r="500">
      <c r="F500" s="113" t="n"/>
      <c r="H500" s="114" t="n"/>
    </row>
    <row r="501">
      <c r="F501" s="113" t="n"/>
      <c r="H501" s="114" t="n"/>
    </row>
    <row r="502">
      <c r="F502" s="113" t="n"/>
      <c r="H502" s="114" t="n"/>
    </row>
    <row r="503">
      <c r="F503" s="113" t="n"/>
      <c r="H503" s="114" t="n"/>
    </row>
    <row r="504">
      <c r="F504" s="113" t="n"/>
      <c r="H504" s="114" t="n"/>
    </row>
    <row r="505">
      <c r="F505" s="113" t="n"/>
      <c r="H505" s="114" t="n"/>
    </row>
    <row r="506">
      <c r="F506" s="113" t="n"/>
      <c r="H506" s="114" t="n"/>
    </row>
    <row r="507">
      <c r="F507" s="113" t="n"/>
      <c r="H507" s="114" t="n"/>
    </row>
    <row r="508">
      <c r="F508" s="113" t="n"/>
      <c r="H508" s="114" t="n"/>
    </row>
    <row r="509">
      <c r="F509" s="113" t="n"/>
      <c r="H509" s="114" t="n"/>
    </row>
    <row r="510">
      <c r="F510" s="113" t="n"/>
      <c r="H510" s="114" t="n"/>
    </row>
    <row r="511">
      <c r="F511" s="113" t="n"/>
      <c r="H511" s="114" t="n"/>
    </row>
    <row r="512">
      <c r="F512" s="113" t="n"/>
      <c r="H512" s="114" t="n"/>
    </row>
    <row r="513">
      <c r="F513" s="113" t="n"/>
      <c r="H513" s="114" t="n"/>
    </row>
    <row r="514">
      <c r="F514" s="113" t="n"/>
      <c r="H514" s="114" t="n"/>
    </row>
    <row r="515">
      <c r="F515" s="113" t="n"/>
      <c r="H515" s="114" t="n"/>
    </row>
    <row r="516">
      <c r="F516" s="113" t="n"/>
      <c r="H516" s="114" t="n"/>
    </row>
    <row r="517">
      <c r="F517" s="113" t="n"/>
      <c r="H517" s="114" t="n"/>
    </row>
    <row r="518">
      <c r="F518" s="113" t="n"/>
      <c r="H518" s="114" t="n"/>
    </row>
    <row r="519">
      <c r="F519" s="113" t="n"/>
      <c r="H519" s="114" t="n"/>
    </row>
    <row r="520">
      <c r="F520" s="113" t="n"/>
      <c r="H520" s="114" t="n"/>
    </row>
    <row r="521">
      <c r="F521" s="113" t="n"/>
      <c r="H521" s="114" t="n"/>
    </row>
    <row r="522">
      <c r="F522" s="113" t="n"/>
      <c r="H522" s="114" t="n"/>
    </row>
    <row r="523">
      <c r="F523" s="113" t="n"/>
      <c r="H523" s="114" t="n"/>
    </row>
    <row r="524">
      <c r="F524" s="113" t="n"/>
      <c r="H524" s="114" t="n"/>
    </row>
    <row r="525">
      <c r="F525" s="113" t="n"/>
      <c r="H525" s="114" t="n"/>
    </row>
    <row r="526">
      <c r="F526" s="113" t="n"/>
      <c r="H526" s="114" t="n"/>
    </row>
    <row r="527">
      <c r="F527" s="113" t="n"/>
      <c r="H527" s="114" t="n"/>
    </row>
    <row r="528">
      <c r="F528" s="113" t="n"/>
      <c r="H528" s="114" t="n"/>
    </row>
    <row r="529">
      <c r="F529" s="113" t="n"/>
      <c r="H529" s="114" t="n"/>
    </row>
    <row r="530">
      <c r="F530" s="113" t="n"/>
      <c r="H530" s="114" t="n"/>
    </row>
    <row r="531">
      <c r="F531" s="113" t="n"/>
      <c r="H531" s="114" t="n"/>
    </row>
    <row r="532">
      <c r="F532" s="113" t="n"/>
      <c r="H532" s="114" t="n"/>
    </row>
    <row r="533">
      <c r="F533" s="113" t="n"/>
      <c r="H533" s="114" t="n"/>
    </row>
    <row r="534">
      <c r="F534" s="113" t="n"/>
      <c r="H534" s="114" t="n"/>
    </row>
    <row r="535">
      <c r="F535" s="113" t="n"/>
      <c r="H535" s="114" t="n"/>
    </row>
    <row r="536">
      <c r="F536" s="113" t="n"/>
      <c r="H536" s="114" t="n"/>
    </row>
    <row r="537">
      <c r="F537" s="113" t="n"/>
      <c r="H537" s="114" t="n"/>
    </row>
    <row r="538">
      <c r="F538" s="113" t="n"/>
      <c r="H538" s="114" t="n"/>
    </row>
    <row r="539">
      <c r="F539" s="113" t="n"/>
      <c r="H539" s="114" t="n"/>
    </row>
    <row r="540">
      <c r="F540" s="113" t="n"/>
      <c r="H540" s="114" t="n"/>
    </row>
    <row r="541">
      <c r="F541" s="113" t="n"/>
      <c r="H541" s="114" t="n"/>
    </row>
    <row r="542">
      <c r="F542" s="113" t="n"/>
      <c r="H542" s="114" t="n"/>
    </row>
    <row r="543">
      <c r="F543" s="113" t="n"/>
      <c r="H543" s="114" t="n"/>
    </row>
    <row r="544">
      <c r="F544" s="113" t="n"/>
      <c r="H544" s="114" t="n"/>
    </row>
    <row r="545">
      <c r="F545" s="113" t="n"/>
      <c r="H545" s="114" t="n"/>
    </row>
    <row r="546">
      <c r="F546" s="113" t="n"/>
      <c r="H546" s="114" t="n"/>
    </row>
    <row r="547">
      <c r="F547" s="113" t="n"/>
      <c r="H547" s="114" t="n"/>
    </row>
    <row r="548">
      <c r="F548" s="113" t="n"/>
      <c r="H548" s="114" t="n"/>
    </row>
    <row r="549">
      <c r="F549" s="113" t="n"/>
      <c r="H549" s="114" t="n"/>
    </row>
    <row r="550">
      <c r="F550" s="113" t="n"/>
      <c r="H550" s="114" t="n"/>
    </row>
    <row r="551">
      <c r="F551" s="113" t="n"/>
      <c r="H551" s="114" t="n"/>
    </row>
    <row r="552">
      <c r="F552" s="113" t="n"/>
      <c r="H552" s="114" t="n"/>
    </row>
    <row r="553">
      <c r="F553" s="113" t="n"/>
      <c r="H553" s="114" t="n"/>
    </row>
    <row r="554">
      <c r="F554" s="113" t="n"/>
      <c r="H554" s="114" t="n"/>
    </row>
    <row r="555">
      <c r="F555" s="113" t="n"/>
      <c r="H555" s="114" t="n"/>
    </row>
    <row r="556">
      <c r="F556" s="113" t="n"/>
      <c r="H556" s="114" t="n"/>
    </row>
    <row r="557">
      <c r="F557" s="113" t="n"/>
      <c r="H557" s="114" t="n"/>
    </row>
    <row r="558">
      <c r="F558" s="113" t="n"/>
      <c r="H558" s="114" t="n"/>
    </row>
    <row r="559">
      <c r="F559" s="113" t="n"/>
      <c r="H559" s="114" t="n"/>
    </row>
    <row r="560">
      <c r="F560" s="113" t="n"/>
      <c r="H560" s="114" t="n"/>
    </row>
    <row r="561">
      <c r="F561" s="113" t="n"/>
      <c r="H561" s="114" t="n"/>
    </row>
    <row r="562">
      <c r="F562" s="113" t="n"/>
      <c r="H562" s="114" t="n"/>
    </row>
    <row r="563">
      <c r="F563" s="113" t="n"/>
      <c r="H563" s="114" t="n"/>
    </row>
    <row r="564">
      <c r="F564" s="113" t="n"/>
      <c r="H564" s="114" t="n"/>
    </row>
    <row r="565">
      <c r="F565" s="113" t="n"/>
      <c r="H565" s="114" t="n"/>
    </row>
    <row r="566">
      <c r="F566" s="113" t="n"/>
      <c r="H566" s="114" t="n"/>
    </row>
    <row r="567">
      <c r="F567" s="113" t="n"/>
      <c r="H567" s="114" t="n"/>
    </row>
    <row r="568">
      <c r="F568" s="113" t="n"/>
      <c r="H568" s="114" t="n"/>
    </row>
    <row r="569">
      <c r="F569" s="113" t="n"/>
      <c r="H569" s="114" t="n"/>
    </row>
    <row r="570">
      <c r="F570" s="113" t="n"/>
      <c r="H570" s="114" t="n"/>
    </row>
    <row r="571">
      <c r="F571" s="113" t="n"/>
      <c r="H571" s="114" t="n"/>
    </row>
    <row r="572">
      <c r="F572" s="113" t="n"/>
      <c r="H572" s="114" t="n"/>
    </row>
    <row r="573">
      <c r="F573" s="113" t="n"/>
      <c r="H573" s="114" t="n"/>
    </row>
    <row r="574">
      <c r="F574" s="113" t="n"/>
      <c r="H574" s="114" t="n"/>
    </row>
    <row r="575">
      <c r="F575" s="113" t="n"/>
      <c r="H575" s="114" t="n"/>
    </row>
    <row r="576">
      <c r="F576" s="113" t="n"/>
      <c r="H576" s="114" t="n"/>
    </row>
    <row r="577">
      <c r="F577" s="113" t="n"/>
      <c r="H577" s="114" t="n"/>
    </row>
    <row r="578">
      <c r="F578" s="113" t="n"/>
      <c r="H578" s="114" t="n"/>
    </row>
    <row r="579">
      <c r="F579" s="113" t="n"/>
      <c r="H579" s="114" t="n"/>
    </row>
    <row r="580">
      <c r="F580" s="113" t="n"/>
      <c r="H580" s="114" t="n"/>
    </row>
    <row r="581">
      <c r="F581" s="113" t="n"/>
      <c r="H581" s="114" t="n"/>
    </row>
    <row r="582">
      <c r="F582" s="113" t="n"/>
      <c r="H582" s="114" t="n"/>
    </row>
    <row r="583">
      <c r="F583" s="113" t="n"/>
      <c r="H583" s="114" t="n"/>
    </row>
    <row r="584">
      <c r="F584" s="113" t="n"/>
      <c r="H584" s="114" t="n"/>
    </row>
    <row r="585">
      <c r="F585" s="113" t="n"/>
      <c r="H585" s="114" t="n"/>
    </row>
    <row r="586">
      <c r="F586" s="113" t="n"/>
      <c r="H586" s="114" t="n"/>
    </row>
    <row r="587">
      <c r="F587" s="113" t="n"/>
      <c r="H587" s="114" t="n"/>
    </row>
    <row r="588">
      <c r="F588" s="113" t="n"/>
      <c r="H588" s="114" t="n"/>
    </row>
    <row r="589">
      <c r="F589" s="113" t="n"/>
      <c r="H589" s="114" t="n"/>
    </row>
    <row r="590">
      <c r="F590" s="113" t="n"/>
      <c r="H590" s="114" t="n"/>
    </row>
    <row r="591">
      <c r="F591" s="113" t="n"/>
      <c r="H591" s="114" t="n"/>
    </row>
    <row r="592">
      <c r="F592" s="113" t="n"/>
      <c r="H592" s="114" t="n"/>
    </row>
    <row r="593">
      <c r="F593" s="113" t="n"/>
      <c r="H593" s="114" t="n"/>
    </row>
    <row r="594">
      <c r="F594" s="113" t="n"/>
      <c r="H594" s="114" t="n"/>
    </row>
    <row r="595">
      <c r="F595" s="113" t="n"/>
      <c r="H595" s="114" t="n"/>
    </row>
    <row r="596">
      <c r="F596" s="113" t="n"/>
      <c r="H596" s="114" t="n"/>
    </row>
    <row r="597">
      <c r="F597" s="113" t="n"/>
      <c r="H597" s="114" t="n"/>
    </row>
    <row r="598">
      <c r="F598" s="113" t="n"/>
      <c r="H598" s="114" t="n"/>
    </row>
    <row r="599">
      <c r="F599" s="113" t="n"/>
      <c r="H599" s="114" t="n"/>
    </row>
    <row r="600">
      <c r="F600" s="113" t="n"/>
      <c r="H600" s="114" t="n"/>
    </row>
    <row r="601">
      <c r="F601" s="113" t="n"/>
      <c r="H601" s="114" t="n"/>
    </row>
    <row r="602">
      <c r="F602" s="113" t="n"/>
      <c r="H602" s="114" t="n"/>
    </row>
    <row r="603">
      <c r="F603" s="113" t="n"/>
      <c r="H603" s="114" t="n"/>
    </row>
    <row r="604">
      <c r="F604" s="113" t="n"/>
      <c r="H604" s="114" t="n"/>
    </row>
    <row r="605">
      <c r="F605" s="113" t="n"/>
      <c r="H605" s="114" t="n"/>
    </row>
    <row r="606">
      <c r="F606" s="113" t="n"/>
      <c r="H606" s="114" t="n"/>
    </row>
    <row r="607">
      <c r="F607" s="113" t="n"/>
      <c r="H607" s="114" t="n"/>
    </row>
    <row r="608">
      <c r="F608" s="113" t="n"/>
      <c r="H608" s="114" t="n"/>
    </row>
    <row r="609">
      <c r="F609" s="113" t="n"/>
      <c r="H609" s="114" t="n"/>
    </row>
    <row r="610">
      <c r="F610" s="113" t="n"/>
      <c r="H610" s="114" t="n"/>
    </row>
    <row r="611">
      <c r="F611" s="113" t="n"/>
      <c r="H611" s="114" t="n"/>
    </row>
    <row r="612">
      <c r="F612" s="113" t="n"/>
      <c r="H612" s="114" t="n"/>
    </row>
    <row r="613">
      <c r="F613" s="113" t="n"/>
      <c r="H613" s="114" t="n"/>
    </row>
    <row r="614">
      <c r="F614" s="113" t="n"/>
      <c r="H614" s="114" t="n"/>
    </row>
    <row r="615">
      <c r="F615" s="113" t="n"/>
      <c r="H615" s="114" t="n"/>
    </row>
    <row r="616">
      <c r="F616" s="113" t="n"/>
      <c r="H616" s="114" t="n"/>
    </row>
    <row r="617">
      <c r="F617" s="113" t="n"/>
      <c r="H617" s="114" t="n"/>
    </row>
    <row r="618">
      <c r="F618" s="113" t="n"/>
      <c r="H618" s="114" t="n"/>
    </row>
    <row r="619">
      <c r="F619" s="113" t="n"/>
      <c r="H619" s="114" t="n"/>
    </row>
    <row r="620">
      <c r="F620" s="113" t="n"/>
      <c r="H620" s="114" t="n"/>
    </row>
    <row r="621">
      <c r="F621" s="113" t="n"/>
      <c r="H621" s="114" t="n"/>
    </row>
    <row r="622">
      <c r="F622" s="113" t="n"/>
      <c r="H622" s="114" t="n"/>
    </row>
    <row r="623">
      <c r="F623" s="113" t="n"/>
      <c r="H623" s="114" t="n"/>
    </row>
    <row r="624">
      <c r="F624" s="113" t="n"/>
      <c r="H624" s="114" t="n"/>
    </row>
    <row r="625">
      <c r="F625" s="113" t="n"/>
      <c r="H625" s="114" t="n"/>
    </row>
    <row r="626">
      <c r="F626" s="113" t="n"/>
      <c r="H626" s="114" t="n"/>
    </row>
    <row r="627">
      <c r="F627" s="113" t="n"/>
      <c r="H627" s="114" t="n"/>
    </row>
    <row r="628">
      <c r="F628" s="113" t="n"/>
      <c r="H628" s="114" t="n"/>
    </row>
    <row r="629">
      <c r="F629" s="113" t="n"/>
      <c r="H629" s="114" t="n"/>
    </row>
    <row r="630">
      <c r="F630" s="113" t="n"/>
      <c r="H630" s="114" t="n"/>
    </row>
    <row r="631">
      <c r="F631" s="113" t="n"/>
      <c r="H631" s="114" t="n"/>
    </row>
    <row r="632">
      <c r="F632" s="113" t="n"/>
      <c r="H632" s="114" t="n"/>
    </row>
    <row r="633">
      <c r="F633" s="113" t="n"/>
      <c r="H633" s="114" t="n"/>
    </row>
    <row r="634">
      <c r="F634" s="113" t="n"/>
      <c r="H634" s="114" t="n"/>
    </row>
    <row r="635">
      <c r="F635" s="113" t="n"/>
      <c r="H635" s="114" t="n"/>
    </row>
    <row r="636">
      <c r="F636" s="113" t="n"/>
      <c r="H636" s="114" t="n"/>
    </row>
    <row r="637">
      <c r="F637" s="113" t="n"/>
      <c r="H637" s="114" t="n"/>
    </row>
    <row r="638">
      <c r="F638" s="113" t="n"/>
      <c r="H638" s="114" t="n"/>
    </row>
    <row r="639">
      <c r="F639" s="113" t="n"/>
      <c r="H639" s="114" t="n"/>
    </row>
    <row r="640">
      <c r="F640" s="113" t="n"/>
      <c r="H640" s="114" t="n"/>
    </row>
    <row r="641">
      <c r="F641" s="113" t="n"/>
      <c r="H641" s="114" t="n"/>
    </row>
    <row r="642">
      <c r="F642" s="113" t="n"/>
      <c r="H642" s="114" t="n"/>
    </row>
    <row r="643">
      <c r="F643" s="113" t="n"/>
      <c r="H643" s="114" t="n"/>
    </row>
    <row r="644">
      <c r="F644" s="113" t="n"/>
      <c r="H644" s="114" t="n"/>
    </row>
    <row r="645">
      <c r="F645" s="113" t="n"/>
      <c r="H645" s="114" t="n"/>
    </row>
    <row r="646">
      <c r="F646" s="113" t="n"/>
      <c r="H646" s="114" t="n"/>
    </row>
    <row r="647">
      <c r="F647" s="113" t="n"/>
      <c r="H647" s="114" t="n"/>
    </row>
    <row r="648">
      <c r="F648" s="113" t="n"/>
      <c r="H648" s="114" t="n"/>
    </row>
    <row r="649">
      <c r="F649" s="113" t="n"/>
      <c r="H649" s="114" t="n"/>
    </row>
    <row r="650">
      <c r="F650" s="113" t="n"/>
      <c r="H650" s="114" t="n"/>
    </row>
    <row r="651">
      <c r="F651" s="113" t="n"/>
      <c r="H651" s="114" t="n"/>
    </row>
    <row r="652">
      <c r="F652" s="113" t="n"/>
      <c r="H652" s="114" t="n"/>
    </row>
    <row r="653">
      <c r="F653" s="113" t="n"/>
      <c r="H653" s="114" t="n"/>
    </row>
    <row r="654">
      <c r="F654" s="113" t="n"/>
      <c r="H654" s="114" t="n"/>
    </row>
    <row r="655">
      <c r="F655" s="113" t="n"/>
      <c r="H655" s="114" t="n"/>
    </row>
    <row r="656">
      <c r="F656" s="113" t="n"/>
      <c r="H656" s="114" t="n"/>
    </row>
    <row r="657">
      <c r="F657" s="113" t="n"/>
      <c r="H657" s="114" t="n"/>
    </row>
    <row r="658">
      <c r="F658" s="113" t="n"/>
      <c r="H658" s="114" t="n"/>
    </row>
    <row r="659">
      <c r="F659" s="113" t="n"/>
      <c r="H659" s="114" t="n"/>
    </row>
    <row r="660">
      <c r="F660" s="113" t="n"/>
      <c r="H660" s="114" t="n"/>
    </row>
    <row r="661">
      <c r="F661" s="113" t="n"/>
      <c r="H661" s="114" t="n"/>
    </row>
    <row r="662">
      <c r="F662" s="113" t="n"/>
      <c r="H662" s="114" t="n"/>
    </row>
    <row r="663">
      <c r="F663" s="113" t="n"/>
      <c r="H663" s="114" t="n"/>
    </row>
    <row r="664">
      <c r="F664" s="113" t="n"/>
      <c r="H664" s="114" t="n"/>
    </row>
    <row r="665">
      <c r="F665" s="113" t="n"/>
      <c r="H665" s="114" t="n"/>
    </row>
    <row r="666">
      <c r="F666" s="113" t="n"/>
      <c r="H666" s="114" t="n"/>
    </row>
    <row r="667">
      <c r="F667" s="113" t="n"/>
      <c r="H667" s="114" t="n"/>
    </row>
    <row r="668">
      <c r="F668" s="113" t="n"/>
      <c r="H668" s="114" t="n"/>
    </row>
    <row r="669">
      <c r="F669" s="113" t="n"/>
      <c r="H669" s="114" t="n"/>
    </row>
    <row r="670">
      <c r="F670" s="113" t="n"/>
      <c r="H670" s="114" t="n"/>
    </row>
    <row r="671">
      <c r="F671" s="113" t="n"/>
      <c r="H671" s="114" t="n"/>
    </row>
    <row r="672">
      <c r="F672" s="113" t="n"/>
      <c r="H672" s="114" t="n"/>
    </row>
    <row r="673">
      <c r="F673" s="113" t="n"/>
      <c r="H673" s="114" t="n"/>
    </row>
    <row r="674">
      <c r="F674" s="113" t="n"/>
      <c r="H674" s="114" t="n"/>
    </row>
    <row r="675">
      <c r="F675" s="113" t="n"/>
      <c r="H675" s="114" t="n"/>
    </row>
    <row r="676">
      <c r="F676" s="113" t="n"/>
      <c r="H676" s="114" t="n"/>
    </row>
    <row r="677">
      <c r="F677" s="113" t="n"/>
      <c r="H677" s="114" t="n"/>
    </row>
    <row r="678">
      <c r="F678" s="113" t="n"/>
      <c r="H678" s="114" t="n"/>
    </row>
    <row r="679">
      <c r="F679" s="113" t="n"/>
      <c r="H679" s="114" t="n"/>
    </row>
    <row r="680">
      <c r="F680" s="113" t="n"/>
      <c r="H680" s="114" t="n"/>
    </row>
    <row r="681">
      <c r="F681" s="113" t="n"/>
      <c r="H681" s="114" t="n"/>
    </row>
    <row r="682">
      <c r="F682" s="113" t="n"/>
      <c r="H682" s="114" t="n"/>
    </row>
    <row r="683">
      <c r="F683" s="113" t="n"/>
      <c r="H683" s="114" t="n"/>
    </row>
    <row r="684">
      <c r="F684" s="113" t="n"/>
      <c r="H684" s="114" t="n"/>
    </row>
    <row r="685">
      <c r="F685" s="113" t="n"/>
      <c r="H685" s="114" t="n"/>
    </row>
    <row r="686">
      <c r="F686" s="113" t="n"/>
      <c r="H686" s="114" t="n"/>
    </row>
    <row r="687">
      <c r="F687" s="113" t="n"/>
      <c r="H687" s="114" t="n"/>
    </row>
    <row r="688">
      <c r="F688" s="113" t="n"/>
      <c r="H688" s="114" t="n"/>
    </row>
    <row r="689">
      <c r="F689" s="113" t="n"/>
      <c r="H689" s="114" t="n"/>
    </row>
    <row r="690">
      <c r="F690" s="113" t="n"/>
      <c r="H690" s="114" t="n"/>
    </row>
    <row r="691">
      <c r="F691" s="113" t="n"/>
      <c r="H691" s="114" t="n"/>
    </row>
    <row r="692">
      <c r="F692" s="113" t="n"/>
      <c r="H692" s="114" t="n"/>
    </row>
    <row r="693">
      <c r="F693" s="113" t="n"/>
      <c r="H693" s="114" t="n"/>
    </row>
    <row r="694">
      <c r="F694" s="113" t="n"/>
      <c r="H694" s="114" t="n"/>
    </row>
    <row r="695">
      <c r="F695" s="113" t="n"/>
      <c r="H695" s="114" t="n"/>
    </row>
    <row r="696">
      <c r="F696" s="113" t="n"/>
      <c r="H696" s="114" t="n"/>
    </row>
    <row r="697">
      <c r="F697" s="113" t="n"/>
      <c r="H697" s="114" t="n"/>
    </row>
    <row r="698">
      <c r="F698" s="113" t="n"/>
      <c r="H698" s="114" t="n"/>
    </row>
    <row r="699">
      <c r="F699" s="113" t="n"/>
      <c r="H699" s="114" t="n"/>
    </row>
    <row r="700">
      <c r="F700" s="113" t="n"/>
      <c r="H700" s="114" t="n"/>
    </row>
    <row r="701">
      <c r="F701" s="113" t="n"/>
      <c r="H701" s="114" t="n"/>
    </row>
    <row r="702">
      <c r="F702" s="113" t="n"/>
      <c r="H702" s="114" t="n"/>
    </row>
    <row r="703">
      <c r="F703" s="113" t="n"/>
      <c r="H703" s="114" t="n"/>
    </row>
    <row r="704">
      <c r="F704" s="113" t="n"/>
      <c r="H704" s="114" t="n"/>
    </row>
    <row r="705">
      <c r="F705" s="113" t="n"/>
      <c r="H705" s="114" t="n"/>
    </row>
    <row r="706">
      <c r="F706" s="113" t="n"/>
      <c r="H706" s="114" t="n"/>
    </row>
    <row r="707">
      <c r="F707" s="113" t="n"/>
      <c r="H707" s="114" t="n"/>
    </row>
    <row r="708">
      <c r="F708" s="113" t="n"/>
      <c r="H708" s="114" t="n"/>
    </row>
    <row r="709">
      <c r="F709" s="113" t="n"/>
      <c r="H709" s="114" t="n"/>
    </row>
    <row r="710">
      <c r="F710" s="113" t="n"/>
      <c r="H710" s="114" t="n"/>
    </row>
    <row r="711">
      <c r="F711" s="113" t="n"/>
      <c r="H711" s="114" t="n"/>
    </row>
    <row r="712">
      <c r="F712" s="113" t="n"/>
      <c r="H712" s="114" t="n"/>
    </row>
    <row r="713">
      <c r="F713" s="113" t="n"/>
      <c r="H713" s="114" t="n"/>
    </row>
    <row r="714">
      <c r="F714" s="113" t="n"/>
      <c r="H714" s="114" t="n"/>
    </row>
    <row r="715">
      <c r="F715" s="113" t="n"/>
      <c r="H715" s="114" t="n"/>
    </row>
    <row r="716">
      <c r="F716" s="113" t="n"/>
      <c r="H716" s="114" t="n"/>
    </row>
    <row r="717">
      <c r="F717" s="113" t="n"/>
      <c r="H717" s="114" t="n"/>
    </row>
    <row r="718">
      <c r="F718" s="113" t="n"/>
      <c r="H718" s="114" t="n"/>
    </row>
    <row r="719">
      <c r="F719" s="113" t="n"/>
      <c r="H719" s="114" t="n"/>
    </row>
    <row r="720">
      <c r="F720" s="113" t="n"/>
      <c r="H720" s="114" t="n"/>
    </row>
    <row r="721">
      <c r="F721" s="113" t="n"/>
      <c r="H721" s="114" t="n"/>
    </row>
    <row r="722">
      <c r="F722" s="113" t="n"/>
      <c r="H722" s="114" t="n"/>
    </row>
    <row r="723">
      <c r="F723" s="113" t="n"/>
      <c r="H723" s="114" t="n"/>
    </row>
    <row r="724">
      <c r="F724" s="113" t="n"/>
      <c r="H724" s="114" t="n"/>
    </row>
    <row r="725">
      <c r="F725" s="113" t="n"/>
      <c r="H725" s="114" t="n"/>
    </row>
    <row r="726">
      <c r="F726" s="113" t="n"/>
      <c r="H726" s="114" t="n"/>
    </row>
    <row r="727">
      <c r="F727" s="113" t="n"/>
      <c r="H727" s="114" t="n"/>
    </row>
    <row r="728">
      <c r="F728" s="113" t="n"/>
      <c r="H728" s="114" t="n"/>
    </row>
    <row r="729">
      <c r="F729" s="113" t="n"/>
      <c r="H729" s="114" t="n"/>
    </row>
    <row r="730">
      <c r="F730" s="113" t="n"/>
      <c r="H730" s="114" t="n"/>
    </row>
    <row r="731">
      <c r="F731" s="113" t="n"/>
      <c r="H731" s="114" t="n"/>
    </row>
    <row r="732">
      <c r="F732" s="113" t="n"/>
      <c r="H732" s="114" t="n"/>
    </row>
    <row r="733">
      <c r="F733" s="113" t="n"/>
      <c r="H733" s="114" t="n"/>
    </row>
    <row r="734">
      <c r="F734" s="113" t="n"/>
      <c r="H734" s="114" t="n"/>
    </row>
    <row r="735">
      <c r="F735" s="113" t="n"/>
      <c r="H735" s="114" t="n"/>
    </row>
    <row r="736">
      <c r="F736" s="113" t="n"/>
      <c r="H736" s="114" t="n"/>
    </row>
    <row r="737">
      <c r="F737" s="113" t="n"/>
      <c r="H737" s="114" t="n"/>
    </row>
    <row r="738">
      <c r="F738" s="113" t="n"/>
      <c r="H738" s="114" t="n"/>
    </row>
    <row r="739">
      <c r="F739" s="113" t="n"/>
      <c r="H739" s="114" t="n"/>
    </row>
    <row r="740">
      <c r="F740" s="113" t="n"/>
      <c r="H740" s="114" t="n"/>
    </row>
    <row r="741">
      <c r="F741" s="113" t="n"/>
      <c r="H741" s="114" t="n"/>
    </row>
    <row r="742">
      <c r="F742" s="113" t="n"/>
      <c r="H742" s="114" t="n"/>
    </row>
    <row r="743">
      <c r="F743" s="113" t="n"/>
      <c r="H743" s="114" t="n"/>
    </row>
    <row r="744">
      <c r="F744" s="113" t="n"/>
      <c r="H744" s="114" t="n"/>
    </row>
    <row r="745">
      <c r="F745" s="113" t="n"/>
      <c r="H745" s="114" t="n"/>
    </row>
    <row r="746">
      <c r="F746" s="113" t="n"/>
      <c r="H746" s="114" t="n"/>
    </row>
    <row r="747">
      <c r="F747" s="113" t="n"/>
      <c r="H747" s="114" t="n"/>
    </row>
    <row r="748">
      <c r="F748" s="113" t="n"/>
      <c r="H748" s="114" t="n"/>
    </row>
    <row r="749">
      <c r="F749" s="113" t="n"/>
      <c r="H749" s="114" t="n"/>
    </row>
    <row r="750">
      <c r="F750" s="113" t="n"/>
      <c r="H750" s="114" t="n"/>
    </row>
    <row r="751">
      <c r="F751" s="113" t="n"/>
      <c r="H751" s="114" t="n"/>
    </row>
    <row r="752">
      <c r="F752" s="113" t="n"/>
      <c r="H752" s="114" t="n"/>
    </row>
    <row r="753">
      <c r="F753" s="113" t="n"/>
      <c r="H753" s="114" t="n"/>
    </row>
    <row r="754">
      <c r="F754" s="113" t="n"/>
      <c r="H754" s="114" t="n"/>
    </row>
    <row r="755">
      <c r="F755" s="113" t="n"/>
      <c r="H755" s="114" t="n"/>
    </row>
    <row r="756">
      <c r="F756" s="113" t="n"/>
      <c r="H756" s="114" t="n"/>
    </row>
    <row r="757">
      <c r="F757" s="113" t="n"/>
      <c r="H757" s="114" t="n"/>
    </row>
    <row r="758">
      <c r="F758" s="113" t="n"/>
      <c r="H758" s="114" t="n"/>
    </row>
    <row r="759">
      <c r="F759" s="113" t="n"/>
      <c r="H759" s="114" t="n"/>
    </row>
    <row r="760">
      <c r="F760" s="113" t="n"/>
      <c r="H760" s="114" t="n"/>
    </row>
    <row r="761">
      <c r="F761" s="113" t="n"/>
      <c r="H761" s="114" t="n"/>
    </row>
    <row r="762">
      <c r="F762" s="113" t="n"/>
      <c r="H762" s="114" t="n"/>
    </row>
    <row r="763">
      <c r="F763" s="113" t="n"/>
      <c r="H763" s="114" t="n"/>
    </row>
    <row r="764">
      <c r="F764" s="113" t="n"/>
      <c r="H764" s="114" t="n"/>
    </row>
    <row r="765">
      <c r="F765" s="113" t="n"/>
      <c r="H765" s="114" t="n"/>
    </row>
    <row r="766">
      <c r="F766" s="113" t="n"/>
      <c r="H766" s="114" t="n"/>
    </row>
    <row r="767">
      <c r="F767" s="113" t="n"/>
      <c r="H767" s="114" t="n"/>
    </row>
    <row r="768">
      <c r="F768" s="113" t="n"/>
      <c r="H768" s="114" t="n"/>
    </row>
    <row r="769">
      <c r="F769" s="113" t="n"/>
      <c r="H769" s="114" t="n"/>
    </row>
    <row r="770">
      <c r="F770" s="113" t="n"/>
      <c r="H770" s="114" t="n"/>
    </row>
    <row r="771">
      <c r="F771" s="113" t="n"/>
      <c r="H771" s="114" t="n"/>
    </row>
    <row r="772">
      <c r="F772" s="113" t="n"/>
      <c r="H772" s="114" t="n"/>
    </row>
    <row r="773">
      <c r="F773" s="113" t="n"/>
      <c r="H773" s="114" t="n"/>
    </row>
    <row r="774">
      <c r="F774" s="113" t="n"/>
      <c r="H774" s="114" t="n"/>
    </row>
    <row r="775">
      <c r="F775" s="113" t="n"/>
      <c r="H775" s="114" t="n"/>
    </row>
    <row r="776">
      <c r="F776" s="113" t="n"/>
      <c r="H776" s="114" t="n"/>
    </row>
    <row r="777">
      <c r="F777" s="113" t="n"/>
      <c r="H777" s="114" t="n"/>
    </row>
    <row r="778">
      <c r="F778" s="113" t="n"/>
      <c r="H778" s="114" t="n"/>
    </row>
    <row r="779">
      <c r="F779" s="113" t="n"/>
      <c r="H779" s="114" t="n"/>
    </row>
    <row r="780">
      <c r="F780" s="113" t="n"/>
      <c r="H780" s="114" t="n"/>
    </row>
    <row r="781">
      <c r="F781" s="113" t="n"/>
      <c r="H781" s="114" t="n"/>
    </row>
    <row r="782">
      <c r="F782" s="113" t="n"/>
      <c r="H782" s="114" t="n"/>
    </row>
    <row r="783">
      <c r="F783" s="113" t="n"/>
      <c r="H783" s="114" t="n"/>
    </row>
    <row r="784">
      <c r="F784" s="113" t="n"/>
      <c r="H784" s="114" t="n"/>
    </row>
    <row r="785">
      <c r="F785" s="113" t="n"/>
      <c r="H785" s="114" t="n"/>
    </row>
    <row r="786">
      <c r="F786" s="113" t="n"/>
      <c r="H786" s="114" t="n"/>
    </row>
    <row r="787">
      <c r="F787" s="113" t="n"/>
      <c r="H787" s="114" t="n"/>
    </row>
    <row r="788">
      <c r="F788" s="113" t="n"/>
      <c r="H788" s="114" t="n"/>
    </row>
    <row r="789">
      <c r="F789" s="113" t="n"/>
      <c r="H789" s="114" t="n"/>
    </row>
    <row r="790">
      <c r="F790" s="113" t="n"/>
      <c r="H790" s="114" t="n"/>
    </row>
    <row r="791">
      <c r="F791" s="113" t="n"/>
      <c r="H791" s="114" t="n"/>
    </row>
    <row r="792">
      <c r="F792" s="113" t="n"/>
      <c r="H792" s="114" t="n"/>
    </row>
    <row r="793">
      <c r="F793" s="113" t="n"/>
      <c r="H793" s="114" t="n"/>
    </row>
    <row r="794">
      <c r="F794" s="113" t="n"/>
      <c r="H794" s="114" t="n"/>
    </row>
    <row r="795">
      <c r="F795" s="113" t="n"/>
      <c r="H795" s="114" t="n"/>
    </row>
    <row r="796">
      <c r="F796" s="113" t="n"/>
      <c r="H796" s="114" t="n"/>
    </row>
    <row r="797">
      <c r="F797" s="113" t="n"/>
      <c r="H797" s="114" t="n"/>
    </row>
    <row r="798">
      <c r="F798" s="113" t="n"/>
      <c r="H798" s="114" t="n"/>
    </row>
    <row r="799">
      <c r="F799" s="113" t="n"/>
      <c r="H799" s="114" t="n"/>
    </row>
    <row r="800">
      <c r="F800" s="113" t="n"/>
      <c r="H800" s="114" t="n"/>
    </row>
    <row r="801">
      <c r="F801" s="113" t="n"/>
      <c r="H801" s="114" t="n"/>
    </row>
    <row r="802">
      <c r="F802" s="113" t="n"/>
      <c r="H802" s="114" t="n"/>
    </row>
    <row r="803">
      <c r="F803" s="113" t="n"/>
      <c r="H803" s="114" t="n"/>
    </row>
    <row r="804">
      <c r="F804" s="113" t="n"/>
      <c r="H804" s="114" t="n"/>
    </row>
    <row r="805">
      <c r="F805" s="113" t="n"/>
      <c r="H805" s="114" t="n"/>
    </row>
    <row r="806">
      <c r="F806" s="113" t="n"/>
      <c r="H806" s="114" t="n"/>
    </row>
    <row r="807">
      <c r="F807" s="113" t="n"/>
      <c r="H807" s="114" t="n"/>
    </row>
    <row r="808">
      <c r="F808" s="113" t="n"/>
      <c r="H808" s="114" t="n"/>
    </row>
    <row r="809">
      <c r="F809" s="113" t="n"/>
      <c r="H809" s="114" t="n"/>
    </row>
    <row r="810">
      <c r="F810" s="113" t="n"/>
      <c r="H810" s="114" t="n"/>
    </row>
    <row r="811">
      <c r="F811" s="113" t="n"/>
      <c r="H811" s="114" t="n"/>
    </row>
    <row r="812">
      <c r="F812" s="113" t="n"/>
      <c r="H812" s="114" t="n"/>
    </row>
    <row r="813">
      <c r="F813" s="113" t="n"/>
      <c r="H813" s="114" t="n"/>
    </row>
    <row r="814">
      <c r="F814" s="113" t="n"/>
      <c r="H814" s="114" t="n"/>
    </row>
    <row r="815">
      <c r="F815" s="113" t="n"/>
      <c r="H815" s="114" t="n"/>
    </row>
    <row r="816">
      <c r="F816" s="113" t="n"/>
      <c r="H816" s="114" t="n"/>
    </row>
    <row r="817">
      <c r="F817" s="113" t="n"/>
      <c r="H817" s="114" t="n"/>
    </row>
    <row r="818">
      <c r="F818" s="113" t="n"/>
      <c r="H818" s="114" t="n"/>
    </row>
    <row r="819">
      <c r="F819" s="113" t="n"/>
      <c r="H819" s="114" t="n"/>
    </row>
    <row r="820">
      <c r="F820" s="113" t="n"/>
      <c r="H820" s="114" t="n"/>
    </row>
    <row r="821">
      <c r="F821" s="113" t="n"/>
      <c r="H821" s="114" t="n"/>
    </row>
    <row r="822">
      <c r="F822" s="113" t="n"/>
      <c r="H822" s="114" t="n"/>
    </row>
    <row r="823">
      <c r="F823" s="113" t="n"/>
      <c r="H823" s="114" t="n"/>
    </row>
    <row r="824">
      <c r="F824" s="113" t="n"/>
      <c r="H824" s="114" t="n"/>
    </row>
    <row r="825">
      <c r="F825" s="113" t="n"/>
      <c r="H825" s="114" t="n"/>
    </row>
    <row r="826">
      <c r="F826" s="113" t="n"/>
      <c r="H826" s="114" t="n"/>
    </row>
    <row r="827">
      <c r="F827" s="113" t="n"/>
      <c r="H827" s="114" t="n"/>
    </row>
    <row r="828">
      <c r="F828" s="113" t="n"/>
      <c r="H828" s="114" t="n"/>
    </row>
    <row r="829">
      <c r="F829" s="113" t="n"/>
      <c r="H829" s="114" t="n"/>
    </row>
    <row r="830">
      <c r="F830" s="113" t="n"/>
      <c r="H830" s="114" t="n"/>
    </row>
    <row r="831">
      <c r="F831" s="113" t="n"/>
      <c r="H831" s="114" t="n"/>
    </row>
    <row r="832">
      <c r="F832" s="113" t="n"/>
      <c r="H832" s="114" t="n"/>
    </row>
    <row r="833">
      <c r="F833" s="113" t="n"/>
      <c r="H833" s="114" t="n"/>
    </row>
    <row r="834">
      <c r="F834" s="113" t="n"/>
      <c r="H834" s="114" t="n"/>
    </row>
    <row r="835">
      <c r="F835" s="113" t="n"/>
      <c r="H835" s="114" t="n"/>
    </row>
    <row r="836">
      <c r="F836" s="113" t="n"/>
      <c r="H836" s="114" t="n"/>
    </row>
    <row r="837">
      <c r="F837" s="113" t="n"/>
      <c r="H837" s="114" t="n"/>
    </row>
    <row r="838">
      <c r="F838" s="113" t="n"/>
      <c r="H838" s="114" t="n"/>
    </row>
    <row r="839">
      <c r="F839" s="113" t="n"/>
      <c r="H839" s="114" t="n"/>
    </row>
    <row r="840">
      <c r="F840" s="113" t="n"/>
      <c r="H840" s="114" t="n"/>
    </row>
    <row r="841">
      <c r="F841" s="113" t="n"/>
      <c r="H841" s="114" t="n"/>
    </row>
    <row r="842">
      <c r="F842" s="113" t="n"/>
      <c r="H842" s="114" t="n"/>
    </row>
    <row r="843">
      <c r="F843" s="113" t="n"/>
      <c r="H843" s="114" t="n"/>
    </row>
    <row r="844">
      <c r="F844" s="113" t="n"/>
      <c r="H844" s="114" t="n"/>
    </row>
    <row r="845">
      <c r="F845" s="113" t="n"/>
      <c r="H845" s="114" t="n"/>
    </row>
    <row r="846">
      <c r="F846" s="113" t="n"/>
      <c r="H846" s="114" t="n"/>
    </row>
    <row r="847">
      <c r="F847" s="113" t="n"/>
      <c r="H847" s="114" t="n"/>
    </row>
    <row r="848">
      <c r="F848" s="113" t="n"/>
      <c r="H848" s="114" t="n"/>
    </row>
    <row r="849">
      <c r="F849" s="113" t="n"/>
      <c r="H849" s="114" t="n"/>
    </row>
    <row r="850">
      <c r="F850" s="113" t="n"/>
      <c r="H850" s="114" t="n"/>
    </row>
    <row r="851">
      <c r="F851" s="113" t="n"/>
      <c r="H851" s="114" t="n"/>
    </row>
    <row r="852">
      <c r="F852" s="113" t="n"/>
      <c r="H852" s="114" t="n"/>
    </row>
    <row r="853">
      <c r="F853" s="113" t="n"/>
      <c r="H853" s="114" t="n"/>
    </row>
    <row r="854">
      <c r="F854" s="113" t="n"/>
      <c r="H854" s="114" t="n"/>
    </row>
    <row r="855">
      <c r="F855" s="113" t="n"/>
      <c r="H855" s="114" t="n"/>
    </row>
    <row r="856">
      <c r="F856" s="113" t="n"/>
      <c r="H856" s="114" t="n"/>
    </row>
    <row r="857">
      <c r="F857" s="113" t="n"/>
      <c r="H857" s="114" t="n"/>
    </row>
    <row r="858">
      <c r="F858" s="113" t="n"/>
      <c r="H858" s="114" t="n"/>
    </row>
    <row r="859">
      <c r="F859" s="113" t="n"/>
      <c r="H859" s="114" t="n"/>
    </row>
    <row r="860">
      <c r="F860" s="113" t="n"/>
      <c r="H860" s="114" t="n"/>
    </row>
    <row r="861">
      <c r="F861" s="113" t="n"/>
      <c r="H861" s="114" t="n"/>
    </row>
    <row r="862">
      <c r="F862" s="113" t="n"/>
      <c r="H862" s="114" t="n"/>
    </row>
    <row r="863">
      <c r="F863" s="113" t="n"/>
      <c r="H863" s="114" t="n"/>
    </row>
    <row r="864">
      <c r="F864" s="113" t="n"/>
      <c r="H864" s="114" t="n"/>
    </row>
    <row r="865">
      <c r="F865" s="113" t="n"/>
      <c r="H865" s="114" t="n"/>
    </row>
    <row r="866">
      <c r="F866" s="113" t="n"/>
      <c r="H866" s="114" t="n"/>
    </row>
    <row r="867">
      <c r="F867" s="113" t="n"/>
      <c r="H867" s="114" t="n"/>
    </row>
    <row r="868">
      <c r="F868" s="113" t="n"/>
      <c r="H868" s="114" t="n"/>
    </row>
    <row r="869">
      <c r="F869" s="113" t="n"/>
      <c r="H869" s="114" t="n"/>
    </row>
    <row r="870">
      <c r="F870" s="113" t="n"/>
      <c r="H870" s="114" t="n"/>
    </row>
    <row r="871">
      <c r="F871" s="113" t="n"/>
      <c r="H871" s="114" t="n"/>
    </row>
    <row r="872">
      <c r="F872" s="113" t="n"/>
      <c r="H872" s="114" t="n"/>
    </row>
    <row r="873">
      <c r="F873" s="113" t="n"/>
      <c r="H873" s="114" t="n"/>
    </row>
    <row r="874">
      <c r="F874" s="113" t="n"/>
      <c r="H874" s="114" t="n"/>
    </row>
    <row r="875">
      <c r="F875" s="113" t="n"/>
      <c r="H875" s="114" t="n"/>
    </row>
    <row r="876">
      <c r="F876" s="113" t="n"/>
      <c r="H876" s="114" t="n"/>
    </row>
    <row r="877">
      <c r="F877" s="113" t="n"/>
      <c r="H877" s="114" t="n"/>
    </row>
    <row r="878">
      <c r="F878" s="113" t="n"/>
      <c r="H878" s="114" t="n"/>
    </row>
    <row r="879">
      <c r="F879" s="113" t="n"/>
      <c r="H879" s="114" t="n"/>
    </row>
    <row r="880">
      <c r="F880" s="113" t="n"/>
      <c r="H880" s="114" t="n"/>
    </row>
    <row r="881">
      <c r="F881" s="113" t="n"/>
      <c r="H881" s="114" t="n"/>
    </row>
    <row r="882">
      <c r="F882" s="113" t="n"/>
      <c r="H882" s="114" t="n"/>
    </row>
    <row r="883">
      <c r="F883" s="113" t="n"/>
      <c r="H883" s="114" t="n"/>
    </row>
    <row r="884">
      <c r="F884" s="113" t="n"/>
      <c r="H884" s="114" t="n"/>
    </row>
    <row r="885">
      <c r="F885" s="113" t="n"/>
      <c r="H885" s="114" t="n"/>
    </row>
    <row r="886">
      <c r="F886" s="113" t="n"/>
      <c r="H886" s="114" t="n"/>
    </row>
    <row r="887">
      <c r="F887" s="113" t="n"/>
      <c r="H887" s="114" t="n"/>
    </row>
    <row r="888">
      <c r="F888" s="113" t="n"/>
      <c r="H888" s="114" t="n"/>
    </row>
    <row r="889">
      <c r="F889" s="113" t="n"/>
      <c r="H889" s="114" t="n"/>
    </row>
    <row r="890">
      <c r="F890" s="113" t="n"/>
      <c r="H890" s="114" t="n"/>
    </row>
    <row r="891">
      <c r="F891" s="113" t="n"/>
      <c r="H891" s="114" t="n"/>
    </row>
    <row r="892">
      <c r="F892" s="113" t="n"/>
      <c r="H892" s="114" t="n"/>
    </row>
    <row r="893">
      <c r="F893" s="113" t="n"/>
      <c r="H893" s="114" t="n"/>
    </row>
    <row r="894">
      <c r="F894" s="113" t="n"/>
      <c r="H894" s="114" t="n"/>
    </row>
    <row r="895">
      <c r="F895" s="113" t="n"/>
      <c r="H895" s="114" t="n"/>
    </row>
    <row r="896">
      <c r="F896" s="113" t="n"/>
      <c r="H896" s="114" t="n"/>
    </row>
    <row r="897">
      <c r="F897" s="113" t="n"/>
      <c r="H897" s="114" t="n"/>
    </row>
    <row r="898">
      <c r="F898" s="113" t="n"/>
      <c r="H898" s="114" t="n"/>
    </row>
    <row r="899">
      <c r="F899" s="113" t="n"/>
      <c r="H899" s="114" t="n"/>
    </row>
    <row r="900">
      <c r="F900" s="113" t="n"/>
      <c r="H900" s="114" t="n"/>
    </row>
    <row r="901">
      <c r="F901" s="113" t="n"/>
      <c r="H901" s="114" t="n"/>
    </row>
    <row r="902">
      <c r="F902" s="113" t="n"/>
      <c r="H902" s="114" t="n"/>
    </row>
    <row r="903">
      <c r="F903" s="113" t="n"/>
      <c r="H903" s="114" t="n"/>
    </row>
    <row r="904">
      <c r="F904" s="113" t="n"/>
      <c r="H904" s="114" t="n"/>
    </row>
    <row r="905">
      <c r="F905" s="113" t="n"/>
      <c r="H905" s="114" t="n"/>
    </row>
    <row r="906">
      <c r="F906" s="113" t="n"/>
      <c r="H906" s="114" t="n"/>
    </row>
    <row r="907">
      <c r="F907" s="113" t="n"/>
      <c r="H907" s="114" t="n"/>
    </row>
    <row r="908">
      <c r="F908" s="113" t="n"/>
      <c r="H908" s="114" t="n"/>
    </row>
    <row r="909">
      <c r="F909" s="113" t="n"/>
      <c r="H909" s="114" t="n"/>
    </row>
    <row r="910">
      <c r="F910" s="113" t="n"/>
      <c r="H910" s="114" t="n"/>
    </row>
    <row r="911">
      <c r="F911" s="113" t="n"/>
      <c r="H911" s="114" t="n"/>
    </row>
    <row r="912">
      <c r="F912" s="113" t="n"/>
      <c r="H912" s="114" t="n"/>
    </row>
    <row r="913">
      <c r="F913" s="113" t="n"/>
      <c r="H913" s="114" t="n"/>
    </row>
    <row r="914">
      <c r="F914" s="113" t="n"/>
      <c r="H914" s="114" t="n"/>
    </row>
    <row r="915">
      <c r="F915" s="113" t="n"/>
      <c r="H915" s="114" t="n"/>
    </row>
    <row r="916">
      <c r="F916" s="113" t="n"/>
      <c r="H916" s="114" t="n"/>
    </row>
    <row r="917">
      <c r="F917" s="113" t="n"/>
      <c r="H917" s="114" t="n"/>
    </row>
    <row r="918">
      <c r="F918" s="113" t="n"/>
      <c r="H918" s="114" t="n"/>
    </row>
    <row r="919">
      <c r="F919" s="113" t="n"/>
      <c r="H919" s="114" t="n"/>
    </row>
    <row r="920">
      <c r="F920" s="113" t="n"/>
      <c r="H920" s="114" t="n"/>
    </row>
    <row r="921">
      <c r="F921" s="113" t="n"/>
      <c r="H921" s="114" t="n"/>
    </row>
    <row r="922">
      <c r="F922" s="113" t="n"/>
      <c r="H922" s="114" t="n"/>
    </row>
    <row r="923">
      <c r="F923" s="113" t="n"/>
      <c r="H923" s="114" t="n"/>
    </row>
    <row r="924">
      <c r="F924" s="113" t="n"/>
      <c r="H924" s="114" t="n"/>
    </row>
    <row r="925">
      <c r="F925" s="113" t="n"/>
      <c r="H925" s="114" t="n"/>
    </row>
    <row r="926">
      <c r="F926" s="113" t="n"/>
      <c r="H926" s="114" t="n"/>
    </row>
    <row r="927">
      <c r="F927" s="113" t="n"/>
      <c r="H927" s="114" t="n"/>
    </row>
    <row r="928">
      <c r="F928" s="113" t="n"/>
      <c r="H928" s="114" t="n"/>
    </row>
    <row r="929">
      <c r="F929" s="113" t="n"/>
      <c r="H929" s="114" t="n"/>
    </row>
    <row r="930">
      <c r="F930" s="113" t="n"/>
      <c r="H930" s="114" t="n"/>
    </row>
    <row r="931">
      <c r="F931" s="113" t="n"/>
      <c r="H931" s="114" t="n"/>
    </row>
    <row r="932">
      <c r="F932" s="113" t="n"/>
      <c r="H932" s="114" t="n"/>
    </row>
    <row r="933">
      <c r="F933" s="113" t="n"/>
      <c r="H933" s="114" t="n"/>
    </row>
    <row r="934">
      <c r="F934" s="113" t="n"/>
      <c r="H934" s="114" t="n"/>
    </row>
    <row r="935">
      <c r="F935" s="113" t="n"/>
      <c r="H935" s="114" t="n"/>
    </row>
    <row r="936">
      <c r="F936" s="113" t="n"/>
      <c r="H936" s="114" t="n"/>
    </row>
    <row r="937">
      <c r="F937" s="113" t="n"/>
      <c r="H937" s="114" t="n"/>
    </row>
    <row r="938">
      <c r="F938" s="113" t="n"/>
      <c r="H938" s="114" t="n"/>
    </row>
    <row r="939">
      <c r="F939" s="113" t="n"/>
      <c r="H939" s="114" t="n"/>
    </row>
    <row r="940">
      <c r="F940" s="113" t="n"/>
      <c r="H940" s="114" t="n"/>
    </row>
    <row r="941">
      <c r="F941" s="113" t="n"/>
      <c r="H941" s="114" t="n"/>
    </row>
    <row r="942">
      <c r="F942" s="113" t="n"/>
      <c r="H942" s="114" t="n"/>
    </row>
    <row r="943">
      <c r="F943" s="113" t="n"/>
      <c r="H943" s="114" t="n"/>
    </row>
    <row r="944">
      <c r="F944" s="113" t="n"/>
      <c r="H944" s="114" t="n"/>
    </row>
    <row r="945">
      <c r="F945" s="113" t="n"/>
      <c r="H945" s="114" t="n"/>
    </row>
    <row r="946">
      <c r="F946" s="113" t="n"/>
      <c r="H946" s="114" t="n"/>
    </row>
    <row r="947">
      <c r="F947" s="113" t="n"/>
      <c r="H947" s="114" t="n"/>
    </row>
    <row r="948">
      <c r="F948" s="113" t="n"/>
      <c r="H948" s="114" t="n"/>
    </row>
    <row r="949">
      <c r="F949" s="113" t="n"/>
      <c r="H949" s="114" t="n"/>
    </row>
    <row r="950">
      <c r="F950" s="113" t="n"/>
      <c r="H950" s="114" t="n"/>
    </row>
    <row r="951">
      <c r="F951" s="113" t="n"/>
      <c r="H951" s="114" t="n"/>
    </row>
    <row r="952">
      <c r="F952" s="113" t="n"/>
      <c r="H952" s="114" t="n"/>
    </row>
    <row r="953">
      <c r="F953" s="113" t="n"/>
      <c r="H953" s="114" t="n"/>
    </row>
    <row r="954">
      <c r="F954" s="113" t="n"/>
      <c r="H954" s="114" t="n"/>
    </row>
    <row r="955">
      <c r="F955" s="113" t="n"/>
      <c r="H955" s="114" t="n"/>
    </row>
    <row r="956">
      <c r="F956" s="113" t="n"/>
      <c r="H956" s="114" t="n"/>
    </row>
    <row r="957">
      <c r="F957" s="113" t="n"/>
      <c r="H957" s="114" t="n"/>
    </row>
    <row r="958">
      <c r="F958" s="113" t="n"/>
      <c r="H958" s="114" t="n"/>
    </row>
    <row r="959">
      <c r="F959" s="113" t="n"/>
      <c r="H959" s="114" t="n"/>
    </row>
    <row r="960">
      <c r="F960" s="113" t="n"/>
      <c r="H960" s="114" t="n"/>
    </row>
    <row r="961">
      <c r="F961" s="113" t="n"/>
      <c r="H961" s="114" t="n"/>
    </row>
    <row r="962">
      <c r="F962" s="113" t="n"/>
      <c r="H962" s="114" t="n"/>
    </row>
    <row r="963">
      <c r="F963" s="113" t="n"/>
      <c r="H963" s="114" t="n"/>
    </row>
    <row r="964">
      <c r="F964" s="113" t="n"/>
      <c r="H964" s="114" t="n"/>
    </row>
    <row r="965">
      <c r="F965" s="113" t="n"/>
      <c r="H965" s="114" t="n"/>
    </row>
    <row r="966">
      <c r="F966" s="113" t="n"/>
      <c r="H966" s="114" t="n"/>
    </row>
    <row r="967">
      <c r="F967" s="113" t="n"/>
      <c r="H967" s="114" t="n"/>
    </row>
    <row r="968">
      <c r="F968" s="113" t="n"/>
      <c r="H968" s="114" t="n"/>
    </row>
    <row r="969">
      <c r="F969" s="113" t="n"/>
      <c r="H969" s="114" t="n"/>
    </row>
    <row r="970">
      <c r="F970" s="113" t="n"/>
      <c r="H970" s="114" t="n"/>
    </row>
    <row r="971">
      <c r="F971" s="113" t="n"/>
      <c r="H971" s="114" t="n"/>
    </row>
    <row r="972">
      <c r="F972" s="113" t="n"/>
      <c r="H972" s="114" t="n"/>
    </row>
    <row r="973">
      <c r="F973" s="113" t="n"/>
      <c r="H973" s="114" t="n"/>
    </row>
    <row r="974">
      <c r="F974" s="113" t="n"/>
      <c r="H974" s="114" t="n"/>
    </row>
    <row r="975">
      <c r="F975" s="113" t="n"/>
      <c r="H975" s="114" t="n"/>
    </row>
    <row r="976">
      <c r="F976" s="113" t="n"/>
      <c r="H976" s="114" t="n"/>
    </row>
    <row r="977">
      <c r="F977" s="113" t="n"/>
      <c r="H977" s="114" t="n"/>
    </row>
    <row r="978">
      <c r="F978" s="113" t="n"/>
      <c r="H978" s="114" t="n"/>
    </row>
    <row r="979">
      <c r="F979" s="113" t="n"/>
      <c r="H979" s="114" t="n"/>
    </row>
    <row r="980">
      <c r="F980" s="113" t="n"/>
      <c r="H980" s="114" t="n"/>
    </row>
    <row r="981">
      <c r="F981" s="113" t="n"/>
      <c r="H981" s="114" t="n"/>
    </row>
    <row r="982">
      <c r="F982" s="113" t="n"/>
      <c r="H982" s="114" t="n"/>
    </row>
    <row r="983">
      <c r="F983" s="113" t="n"/>
      <c r="H983" s="114" t="n"/>
    </row>
    <row r="984">
      <c r="F984" s="113" t="n"/>
      <c r="H984" s="114" t="n"/>
    </row>
    <row r="985">
      <c r="F985" s="113" t="n"/>
      <c r="H985" s="114" t="n"/>
    </row>
    <row r="986">
      <c r="F986" s="113" t="n"/>
      <c r="H986" s="114" t="n"/>
    </row>
    <row r="987">
      <c r="F987" s="113" t="n"/>
      <c r="H987" s="114" t="n"/>
    </row>
    <row r="988">
      <c r="F988" s="113" t="n"/>
      <c r="H988" s="114" t="n"/>
    </row>
    <row r="989">
      <c r="F989" s="113" t="n"/>
      <c r="H989" s="114" t="n"/>
    </row>
    <row r="990">
      <c r="F990" s="113" t="n"/>
      <c r="H990" s="114" t="n"/>
    </row>
    <row r="991">
      <c r="F991" s="113" t="n"/>
      <c r="H991" s="114" t="n"/>
    </row>
    <row r="992">
      <c r="F992" s="113" t="n"/>
      <c r="H992" s="114" t="n"/>
    </row>
    <row r="993">
      <c r="F993" s="113" t="n"/>
      <c r="H993" s="114" t="n"/>
    </row>
    <row r="994">
      <c r="F994" s="113" t="n"/>
      <c r="H994" s="114" t="n"/>
    </row>
    <row r="995">
      <c r="F995" s="113" t="n"/>
      <c r="H995" s="114" t="n"/>
    </row>
    <row r="996">
      <c r="F996" s="113" t="n"/>
      <c r="H996" s="114" t="n"/>
    </row>
    <row r="997">
      <c r="F997" s="113" t="n"/>
      <c r="H997" s="114" t="n"/>
    </row>
    <row r="998">
      <c r="F998" s="113" t="n"/>
      <c r="H998" s="114" t="n"/>
    </row>
    <row r="999">
      <c r="F999" s="113" t="n"/>
      <c r="H999" s="114" t="n"/>
    </row>
    <row r="1000">
      <c r="F1000" s="113" t="n"/>
      <c r="H1000" s="1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992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26.13" customWidth="1" style="162" min="1" max="1"/>
    <col width="14.63" customWidth="1" style="162" min="17" max="18"/>
    <col width="13.38" customWidth="1" style="162" min="21" max="22"/>
  </cols>
  <sheetData>
    <row r="1">
      <c r="A1" s="136" t="n"/>
      <c r="B1" s="116" t="inlineStr">
        <is>
          <t>20 de enero</t>
        </is>
      </c>
      <c r="C1" s="116" t="inlineStr">
        <is>
          <t>23 de febrero</t>
        </is>
      </c>
      <c r="D1" s="117" t="inlineStr">
        <is>
          <t>Diferencia</t>
        </is>
      </c>
      <c r="E1" s="116" t="inlineStr">
        <is>
          <t>30 de marzo</t>
        </is>
      </c>
      <c r="F1" s="117" t="inlineStr">
        <is>
          <t>Diferencia</t>
        </is>
      </c>
      <c r="G1" s="116" t="inlineStr">
        <is>
          <t>27 de abril</t>
        </is>
      </c>
      <c r="H1" s="117" t="inlineStr">
        <is>
          <t>Diferencia</t>
        </is>
      </c>
      <c r="I1" s="118" t="inlineStr">
        <is>
          <t>25 de mayo</t>
        </is>
      </c>
      <c r="J1" s="119" t="inlineStr">
        <is>
          <t>Diferencia</t>
        </is>
      </c>
      <c r="K1" s="118" t="inlineStr">
        <is>
          <t>29 de junio</t>
        </is>
      </c>
      <c r="L1" s="119" t="inlineStr">
        <is>
          <t>Diferencia</t>
        </is>
      </c>
      <c r="M1" s="118" t="inlineStr">
        <is>
          <t>27 de julio</t>
        </is>
      </c>
      <c r="N1" s="119" t="inlineStr">
        <is>
          <t>Diferencia</t>
        </is>
      </c>
      <c r="O1" s="118" t="inlineStr">
        <is>
          <t>31 de agosto</t>
        </is>
      </c>
      <c r="P1" s="119" t="inlineStr">
        <is>
          <t>Diferencia</t>
        </is>
      </c>
      <c r="Q1" s="118" t="inlineStr">
        <is>
          <t>28 de septiembre</t>
        </is>
      </c>
      <c r="R1" s="119" t="inlineStr">
        <is>
          <t>Diferencia</t>
        </is>
      </c>
      <c r="S1" s="118" t="inlineStr">
        <is>
          <t>26 de octubre</t>
        </is>
      </c>
      <c r="T1" s="119" t="inlineStr">
        <is>
          <t>Diferencia</t>
        </is>
      </c>
      <c r="U1" s="118" t="inlineStr">
        <is>
          <t>30 de noviembre</t>
        </is>
      </c>
      <c r="V1" s="119" t="inlineStr">
        <is>
          <t>Diferencia</t>
        </is>
      </c>
      <c r="W1" s="118" t="inlineStr">
        <is>
          <t>21 de diciembre</t>
        </is>
      </c>
      <c r="X1" s="120" t="inlineStr">
        <is>
          <t>Diferencia</t>
        </is>
      </c>
    </row>
    <row r="2">
      <c r="A2" s="121" t="n"/>
      <c r="B2" s="183" t="inlineStr">
        <is>
          <t>Twitter</t>
        </is>
      </c>
      <c r="C2" s="184" t="n"/>
      <c r="D2" s="184" t="n"/>
      <c r="E2" s="184" t="n"/>
      <c r="F2" s="184" t="n"/>
      <c r="G2" s="184" t="n"/>
      <c r="H2" s="184" t="n"/>
      <c r="I2" s="184" t="n"/>
      <c r="J2" s="184" t="n"/>
      <c r="K2" s="184" t="n"/>
      <c r="L2" s="184" t="n"/>
      <c r="M2" s="184" t="n"/>
      <c r="N2" s="184" t="n"/>
      <c r="O2" s="184" t="n"/>
      <c r="P2" s="184" t="n"/>
      <c r="Q2" s="184" t="n"/>
      <c r="R2" s="184" t="n"/>
      <c r="S2" s="184" t="n"/>
      <c r="T2" s="184" t="n"/>
      <c r="U2" s="184" t="n"/>
      <c r="V2" s="184" t="n"/>
      <c r="W2" s="184" t="n"/>
      <c r="X2" s="185" t="n"/>
    </row>
    <row r="3">
      <c r="A3" s="132" t="inlineStr">
        <is>
          <t>IMCO</t>
        </is>
      </c>
      <c r="B3" s="126" t="n">
        <v>145189</v>
      </c>
      <c r="C3" s="14" t="n">
        <v>145319</v>
      </c>
      <c r="D3" s="127">
        <f>C3-B3</f>
        <v/>
      </c>
      <c r="E3" s="126" t="n">
        <v>145589</v>
      </c>
      <c r="F3" s="127">
        <f>E3-C3</f>
        <v/>
      </c>
      <c r="G3" s="133" t="n"/>
      <c r="H3" s="129" t="n"/>
      <c r="I3" s="133" t="n"/>
      <c r="J3" s="129" t="n"/>
      <c r="K3" s="133" t="n"/>
      <c r="L3" s="129" t="n"/>
      <c r="M3" s="133" t="n"/>
      <c r="N3" s="129" t="n"/>
      <c r="O3" s="133" t="n"/>
      <c r="P3" s="129" t="n"/>
      <c r="Q3" s="133" t="n"/>
      <c r="R3" s="129" t="n"/>
      <c r="S3" s="133" t="n"/>
      <c r="T3" s="129" t="n"/>
      <c r="U3" s="133" t="n"/>
      <c r="V3" s="129" t="n"/>
      <c r="W3" s="133" t="n"/>
      <c r="X3" s="129" t="n"/>
    </row>
    <row r="4">
      <c r="A4" s="132" t="inlineStr">
        <is>
          <t>México ¿Cómo vamos?</t>
        </is>
      </c>
      <c r="B4" s="126" t="n">
        <v>137242</v>
      </c>
      <c r="C4" s="126" t="n">
        <v>137265</v>
      </c>
      <c r="D4" s="127">
        <f>C4-B4</f>
        <v/>
      </c>
      <c r="E4" s="126" t="n">
        <v>137201</v>
      </c>
      <c r="F4" s="127">
        <f>E4-C4</f>
        <v/>
      </c>
      <c r="G4" s="133" t="n"/>
      <c r="H4" s="129" t="n"/>
      <c r="I4" s="133" t="n"/>
      <c r="J4" s="129" t="n"/>
      <c r="K4" s="133" t="n"/>
      <c r="L4" s="129" t="n"/>
      <c r="M4" s="133" t="n"/>
      <c r="N4" s="129" t="n"/>
      <c r="O4" s="133" t="n"/>
      <c r="P4" s="129" t="n"/>
      <c r="Q4" s="133" t="n"/>
      <c r="R4" s="129" t="n"/>
      <c r="S4" s="133" t="n"/>
      <c r="T4" s="129" t="n"/>
      <c r="U4" s="133" t="n"/>
      <c r="V4" s="129" t="n"/>
      <c r="W4" s="133" t="n"/>
      <c r="X4" s="129" t="n"/>
    </row>
    <row r="5">
      <c r="A5" s="131" t="inlineStr">
        <is>
          <t>Mexicanos contra la corrupción</t>
        </is>
      </c>
      <c r="B5" s="126" t="n">
        <v>396242</v>
      </c>
      <c r="C5" s="126" t="n">
        <v>397849</v>
      </c>
      <c r="D5" s="127">
        <f>C5-B5</f>
        <v/>
      </c>
      <c r="E5" s="126" t="n">
        <v>398507</v>
      </c>
      <c r="F5" s="127">
        <f>E5-C5</f>
        <v/>
      </c>
      <c r="G5" s="133" t="n"/>
      <c r="H5" s="129" t="n"/>
      <c r="I5" s="133" t="n"/>
      <c r="J5" s="129" t="n"/>
      <c r="K5" s="133" t="n"/>
      <c r="L5" s="129" t="n"/>
      <c r="M5" s="133" t="n"/>
      <c r="N5" s="129" t="n"/>
      <c r="O5" s="133" t="n"/>
      <c r="P5" s="129" t="n"/>
      <c r="Q5" s="133" t="n"/>
      <c r="R5" s="129" t="n"/>
      <c r="S5" s="133" t="n"/>
      <c r="T5" s="129" t="n"/>
      <c r="U5" s="133" t="n"/>
      <c r="V5" s="129" t="n"/>
      <c r="W5" s="133" t="n"/>
      <c r="X5" s="129" t="n"/>
    </row>
    <row r="6">
      <c r="A6" s="131" t="inlineStr">
        <is>
          <t>México Evalúa</t>
        </is>
      </c>
      <c r="B6" s="126" t="n">
        <v>142996</v>
      </c>
      <c r="C6" s="126" t="n">
        <v>143166</v>
      </c>
      <c r="D6" s="127">
        <f>C6-B6</f>
        <v/>
      </c>
      <c r="E6" s="126" t="n">
        <v>143186</v>
      </c>
      <c r="F6" s="127">
        <f>E6-C6</f>
        <v/>
      </c>
      <c r="G6" s="133" t="n"/>
      <c r="H6" s="129" t="n"/>
      <c r="I6" s="133" t="n"/>
      <c r="J6" s="129" t="n"/>
      <c r="K6" s="133" t="n"/>
      <c r="L6" s="129" t="n"/>
      <c r="M6" s="133" t="n"/>
      <c r="N6" s="129" t="n"/>
      <c r="O6" s="133" t="n"/>
      <c r="P6" s="129" t="n"/>
      <c r="Q6" s="133" t="n"/>
      <c r="R6" s="129" t="n"/>
      <c r="S6" s="133" t="n"/>
      <c r="T6" s="129" t="n"/>
      <c r="U6" s="133" t="n"/>
      <c r="V6" s="129" t="n"/>
      <c r="W6" s="133" t="n"/>
      <c r="X6" s="129" t="n"/>
    </row>
    <row r="7">
      <c r="A7" s="132" t="inlineStr">
        <is>
          <t xml:space="preserve">Data Cívica </t>
        </is>
      </c>
      <c r="B7" s="126" t="n">
        <v>33144</v>
      </c>
      <c r="C7" s="126" t="n">
        <v>33179</v>
      </c>
      <c r="D7" s="127">
        <f>C7-B7</f>
        <v/>
      </c>
      <c r="E7" s="126" t="n">
        <v>33190</v>
      </c>
      <c r="F7" s="127">
        <f>E7-C7</f>
        <v/>
      </c>
      <c r="G7" s="133" t="n"/>
      <c r="H7" s="129" t="n"/>
      <c r="I7" s="133" t="n"/>
      <c r="J7" s="129" t="n"/>
      <c r="K7" s="133" t="n"/>
      <c r="L7" s="129" t="n"/>
      <c r="M7" s="133" t="n"/>
      <c r="N7" s="129" t="n"/>
      <c r="O7" s="133" t="n"/>
      <c r="P7" s="129" t="n"/>
      <c r="Q7" s="133" t="n"/>
      <c r="R7" s="129" t="n"/>
      <c r="S7" s="133" t="n"/>
      <c r="T7" s="129" t="n"/>
      <c r="U7" s="133" t="n"/>
      <c r="V7" s="129" t="n"/>
      <c r="W7" s="133" t="n"/>
      <c r="X7" s="129" t="n"/>
    </row>
    <row r="8">
      <c r="A8" s="132" t="inlineStr">
        <is>
          <t>CIEP</t>
        </is>
      </c>
      <c r="B8" s="126" t="n">
        <v>16530</v>
      </c>
      <c r="C8" s="126" t="n">
        <v>16535</v>
      </c>
      <c r="D8" s="127">
        <f>C8-B8</f>
        <v/>
      </c>
      <c r="E8" s="126" t="n">
        <v>16525</v>
      </c>
      <c r="F8" s="127">
        <f>E8-C8</f>
        <v/>
      </c>
      <c r="G8" s="133" t="n"/>
      <c r="H8" s="129" t="n"/>
      <c r="I8" s="133" t="n"/>
      <c r="J8" s="129" t="n"/>
      <c r="K8" s="133" t="n"/>
      <c r="L8" s="129" t="n"/>
      <c r="M8" s="133" t="n"/>
      <c r="N8" s="129" t="n"/>
      <c r="O8" s="133" t="n"/>
      <c r="P8" s="129" t="n"/>
      <c r="Q8" s="133" t="n"/>
      <c r="R8" s="129" t="n"/>
      <c r="S8" s="133" t="n"/>
      <c r="T8" s="129" t="n"/>
      <c r="U8" s="133" t="n"/>
      <c r="V8" s="129" t="n"/>
      <c r="W8" s="133" t="n"/>
      <c r="X8" s="129" t="n"/>
    </row>
    <row r="9">
      <c r="A9" s="121" t="n"/>
      <c r="B9" s="183" t="inlineStr">
        <is>
          <t>Instagram</t>
        </is>
      </c>
      <c r="C9" s="184" t="n"/>
      <c r="D9" s="184" t="n"/>
      <c r="E9" s="184" t="n"/>
      <c r="F9" s="184" t="n"/>
      <c r="G9" s="184" t="n"/>
      <c r="H9" s="184" t="n"/>
      <c r="I9" s="184" t="n"/>
      <c r="J9" s="184" t="n"/>
      <c r="K9" s="184" t="n"/>
      <c r="L9" s="184" t="n"/>
      <c r="M9" s="184" t="n"/>
      <c r="N9" s="184" t="n"/>
      <c r="O9" s="184" t="n"/>
      <c r="P9" s="184" t="n"/>
      <c r="Q9" s="184" t="n"/>
      <c r="R9" s="184" t="n"/>
      <c r="S9" s="184" t="n"/>
      <c r="T9" s="184" t="n"/>
      <c r="U9" s="184" t="n"/>
      <c r="V9" s="184" t="n"/>
      <c r="W9" s="184" t="n"/>
      <c r="X9" s="185" t="n"/>
    </row>
    <row r="10">
      <c r="A10" s="132" t="inlineStr">
        <is>
          <t>IMCO</t>
        </is>
      </c>
      <c r="B10" s="126" t="n">
        <v>14882</v>
      </c>
      <c r="C10" s="14" t="n">
        <v>15486</v>
      </c>
      <c r="D10" s="127">
        <f>C10-B10</f>
        <v/>
      </c>
      <c r="E10" s="126" t="n">
        <v>17385</v>
      </c>
      <c r="F10" s="127">
        <f>E10-C10</f>
        <v/>
      </c>
      <c r="G10" s="133" t="n"/>
      <c r="H10" s="129" t="n"/>
      <c r="I10" s="133" t="n"/>
      <c r="J10" s="129" t="n"/>
      <c r="K10" s="133" t="n"/>
      <c r="L10" s="129" t="n"/>
      <c r="M10" s="133" t="n"/>
      <c r="N10" s="129" t="n"/>
      <c r="O10" s="133" t="n"/>
      <c r="P10" s="129" t="n"/>
      <c r="Q10" s="133" t="n"/>
      <c r="R10" s="129" t="n"/>
      <c r="S10" s="133" t="n"/>
      <c r="T10" s="129" t="n"/>
      <c r="U10" s="133" t="n"/>
      <c r="V10" s="129" t="n"/>
      <c r="W10" s="133" t="n"/>
      <c r="X10" s="129" t="n"/>
    </row>
    <row r="11">
      <c r="A11" s="132" t="inlineStr">
        <is>
          <t>México ¿Cómo vamos?</t>
        </is>
      </c>
      <c r="B11" s="126" t="n">
        <v>11316</v>
      </c>
      <c r="C11" s="126" t="n">
        <v>11776</v>
      </c>
      <c r="D11" s="127">
        <f>C11-B11</f>
        <v/>
      </c>
      <c r="E11" s="126" t="n">
        <v>12536</v>
      </c>
      <c r="F11" s="127">
        <f>E11-C11</f>
        <v/>
      </c>
      <c r="G11" s="133" t="n"/>
      <c r="H11" s="129" t="n"/>
      <c r="I11" s="133" t="n"/>
      <c r="J11" s="129" t="n"/>
      <c r="K11" s="133" t="n"/>
      <c r="L11" s="129" t="n"/>
      <c r="M11" s="133" t="n"/>
      <c r="N11" s="129" t="n"/>
      <c r="O11" s="133" t="n"/>
      <c r="P11" s="129" t="n"/>
      <c r="Q11" s="133" t="n"/>
      <c r="R11" s="129" t="n"/>
      <c r="S11" s="133" t="n"/>
      <c r="T11" s="129" t="n"/>
      <c r="U11" s="133" t="n"/>
      <c r="V11" s="129" t="n"/>
      <c r="W11" s="133" t="n"/>
      <c r="X11" s="129" t="n"/>
    </row>
    <row r="12">
      <c r="A12" s="132" t="inlineStr">
        <is>
          <t>Mexicanos contra la corrupción</t>
        </is>
      </c>
      <c r="B12" s="126" t="n">
        <v>33611</v>
      </c>
      <c r="C12" s="126" t="n">
        <v>34108</v>
      </c>
      <c r="D12" s="127">
        <f>C12-B12</f>
        <v/>
      </c>
      <c r="E12" s="126" t="n">
        <v>34510</v>
      </c>
      <c r="F12" s="127">
        <f>E12-C12</f>
        <v/>
      </c>
      <c r="G12" s="133" t="n"/>
      <c r="H12" s="129" t="n"/>
      <c r="I12" s="133" t="n"/>
      <c r="J12" s="129" t="n"/>
      <c r="K12" s="133" t="n"/>
      <c r="L12" s="129" t="n"/>
      <c r="M12" s="133" t="n"/>
      <c r="N12" s="129" t="n"/>
      <c r="O12" s="133" t="n"/>
      <c r="P12" s="129" t="n"/>
      <c r="Q12" s="133" t="n"/>
      <c r="R12" s="129" t="n"/>
      <c r="S12" s="133" t="n"/>
      <c r="T12" s="129" t="n"/>
      <c r="U12" s="133" t="n"/>
      <c r="V12" s="129" t="n"/>
      <c r="W12" s="133" t="n"/>
      <c r="X12" s="129" t="n"/>
    </row>
    <row r="13">
      <c r="A13" s="132" t="inlineStr">
        <is>
          <t>México Evalúa</t>
        </is>
      </c>
      <c r="B13" s="126" t="n">
        <v>7909</v>
      </c>
      <c r="C13" s="126" t="n">
        <v>7930</v>
      </c>
      <c r="D13" s="127">
        <f>C13-B13</f>
        <v/>
      </c>
      <c r="E13" s="126" t="n">
        <v>8049</v>
      </c>
      <c r="F13" s="127">
        <f>E13-C13</f>
        <v/>
      </c>
      <c r="G13" s="133" t="n"/>
      <c r="H13" s="129" t="n"/>
      <c r="I13" s="133" t="n"/>
      <c r="J13" s="129" t="n"/>
      <c r="K13" s="133" t="n"/>
      <c r="L13" s="129" t="n"/>
      <c r="M13" s="133" t="n"/>
      <c r="N13" s="129" t="n"/>
      <c r="O13" s="133" t="n"/>
      <c r="P13" s="129" t="n"/>
      <c r="Q13" s="133" t="n"/>
      <c r="R13" s="129" t="n"/>
      <c r="S13" s="133" t="n"/>
      <c r="T13" s="129" t="n"/>
      <c r="U13" s="133" t="n"/>
      <c r="V13" s="129" t="n"/>
      <c r="W13" s="133" t="n"/>
      <c r="X13" s="129" t="n"/>
    </row>
    <row r="14">
      <c r="A14" s="132" t="inlineStr">
        <is>
          <t xml:space="preserve">Data Cívica </t>
        </is>
      </c>
      <c r="B14" s="126" t="n">
        <v>9032</v>
      </c>
      <c r="C14" s="126" t="n">
        <v>9143</v>
      </c>
      <c r="D14" s="127">
        <f>C14-B14</f>
        <v/>
      </c>
      <c r="E14" s="126" t="n">
        <v>9659</v>
      </c>
      <c r="F14" s="127">
        <f>E14-C14</f>
        <v/>
      </c>
      <c r="G14" s="133" t="n"/>
      <c r="H14" s="129" t="n"/>
      <c r="I14" s="133" t="n"/>
      <c r="J14" s="129" t="n"/>
      <c r="K14" s="133" t="n"/>
      <c r="L14" s="129" t="n"/>
      <c r="M14" s="133" t="n"/>
      <c r="N14" s="129" t="n"/>
      <c r="O14" s="133" t="n"/>
      <c r="P14" s="129" t="n"/>
      <c r="Q14" s="133" t="n"/>
      <c r="R14" s="129" t="n"/>
      <c r="S14" s="133" t="n"/>
      <c r="T14" s="129" t="n"/>
      <c r="U14" s="133" t="n"/>
      <c r="V14" s="129" t="n"/>
      <c r="W14" s="133" t="n"/>
      <c r="X14" s="129" t="n"/>
    </row>
    <row r="15">
      <c r="A15" s="132" t="inlineStr">
        <is>
          <t>CIEP</t>
        </is>
      </c>
      <c r="B15" s="126" t="n">
        <v>643</v>
      </c>
      <c r="C15" s="133" t="n">
        <v>677</v>
      </c>
      <c r="D15" s="127">
        <f>C15-B15</f>
        <v/>
      </c>
      <c r="E15" s="133" t="n">
        <v>697</v>
      </c>
      <c r="F15" s="129">
        <f>E15-C15</f>
        <v/>
      </c>
      <c r="G15" s="133" t="n"/>
      <c r="H15" s="129" t="n"/>
      <c r="I15" s="133" t="n"/>
      <c r="J15" s="129" t="n"/>
      <c r="K15" s="133" t="n"/>
      <c r="L15" s="129" t="n"/>
      <c r="M15" s="133" t="n"/>
      <c r="N15" s="129" t="n"/>
      <c r="O15" s="133" t="n"/>
      <c r="P15" s="129" t="n"/>
      <c r="Q15" s="133" t="n"/>
      <c r="R15" s="129" t="n"/>
      <c r="S15" s="133" t="n"/>
      <c r="T15" s="129" t="n"/>
      <c r="U15" s="133" t="n"/>
      <c r="V15" s="129" t="n"/>
      <c r="W15" s="133" t="n"/>
      <c r="X15" s="129" t="n"/>
    </row>
    <row r="16">
      <c r="A16" s="121" t="n"/>
      <c r="B16" s="183" t="inlineStr">
        <is>
          <t>LinkedIn</t>
        </is>
      </c>
      <c r="C16" s="184" t="n"/>
      <c r="D16" s="184" t="n"/>
      <c r="E16" s="184" t="n"/>
      <c r="F16" s="184" t="n"/>
      <c r="G16" s="184" t="n"/>
      <c r="H16" s="184" t="n"/>
      <c r="I16" s="184" t="n"/>
      <c r="J16" s="184" t="n"/>
      <c r="K16" s="184" t="n"/>
      <c r="L16" s="184" t="n"/>
      <c r="M16" s="184" t="n"/>
      <c r="N16" s="184" t="n"/>
      <c r="O16" s="184" t="n"/>
      <c r="P16" s="184" t="n"/>
      <c r="Q16" s="184" t="n"/>
      <c r="R16" s="184" t="n"/>
      <c r="S16" s="184" t="n"/>
      <c r="T16" s="184" t="n"/>
      <c r="U16" s="184" t="n"/>
      <c r="V16" s="184" t="n"/>
      <c r="W16" s="184" t="n"/>
      <c r="X16" s="185" t="n"/>
    </row>
    <row r="17">
      <c r="A17" s="132" t="inlineStr">
        <is>
          <t>IMCO</t>
        </is>
      </c>
      <c r="B17" s="126" t="n">
        <v>21995</v>
      </c>
      <c r="C17" s="14" t="n">
        <v>22435</v>
      </c>
      <c r="D17" s="127">
        <f>C17-B17</f>
        <v/>
      </c>
      <c r="E17" s="126" t="n">
        <v>23326</v>
      </c>
      <c r="F17" s="127">
        <f>E17-C17</f>
        <v/>
      </c>
      <c r="G17" s="133" t="n"/>
      <c r="H17" s="129" t="n"/>
      <c r="I17" s="133" t="n"/>
      <c r="J17" s="129" t="n"/>
      <c r="K17" s="133" t="n"/>
      <c r="L17" s="129" t="n"/>
      <c r="M17" s="133" t="n"/>
      <c r="N17" s="129" t="n"/>
      <c r="O17" s="133" t="n"/>
      <c r="P17" s="129" t="n"/>
      <c r="Q17" s="133" t="n"/>
      <c r="R17" s="129" t="n"/>
      <c r="S17" s="133" t="n"/>
      <c r="T17" s="129" t="n"/>
      <c r="U17" s="133" t="n"/>
      <c r="V17" s="129" t="n"/>
      <c r="W17" s="133" t="n"/>
      <c r="X17" s="129" t="n"/>
    </row>
    <row r="18">
      <c r="A18" s="132" t="inlineStr">
        <is>
          <t>México ¿Cómo vamos?</t>
        </is>
      </c>
      <c r="B18" s="126" t="n">
        <v>2718</v>
      </c>
      <c r="C18" s="126" t="n">
        <v>2808</v>
      </c>
      <c r="D18" s="127">
        <f>C18-B18</f>
        <v/>
      </c>
      <c r="E18" s="126" t="n">
        <v>2981</v>
      </c>
      <c r="F18" s="127">
        <f>E18-C18</f>
        <v/>
      </c>
      <c r="G18" s="133" t="n"/>
      <c r="H18" s="129" t="n"/>
      <c r="I18" s="133" t="n"/>
      <c r="J18" s="129" t="n"/>
      <c r="K18" s="133" t="n"/>
      <c r="L18" s="129" t="n"/>
      <c r="M18" s="133" t="n"/>
      <c r="N18" s="129" t="n"/>
      <c r="O18" s="133" t="n"/>
      <c r="P18" s="129" t="n"/>
      <c r="Q18" s="133" t="n"/>
      <c r="R18" s="129" t="n"/>
      <c r="S18" s="133" t="n"/>
      <c r="T18" s="129" t="n"/>
      <c r="U18" s="133" t="n"/>
      <c r="V18" s="129" t="n"/>
      <c r="W18" s="133" t="n"/>
      <c r="X18" s="129" t="n"/>
    </row>
    <row r="19">
      <c r="A19" s="132" t="inlineStr">
        <is>
          <t>México Evalúa</t>
        </is>
      </c>
      <c r="B19" s="126" t="n">
        <v>14023</v>
      </c>
      <c r="C19" s="126" t="n">
        <v>14245</v>
      </c>
      <c r="D19" s="127">
        <f>C19-B19</f>
        <v/>
      </c>
      <c r="E19" s="126" t="n">
        <v>14435</v>
      </c>
      <c r="F19" s="127">
        <f>E19-C19</f>
        <v/>
      </c>
      <c r="G19" s="133" t="n"/>
      <c r="H19" s="129" t="n"/>
      <c r="I19" s="133" t="n"/>
      <c r="J19" s="129" t="n"/>
      <c r="K19" s="133" t="n"/>
      <c r="L19" s="129" t="n"/>
      <c r="M19" s="133" t="n"/>
      <c r="N19" s="129" t="n"/>
      <c r="O19" s="133" t="n"/>
      <c r="P19" s="129" t="n"/>
      <c r="Q19" s="133" t="n"/>
      <c r="R19" s="129" t="n"/>
      <c r="S19" s="133" t="n"/>
      <c r="T19" s="129" t="n"/>
      <c r="U19" s="133" t="n"/>
      <c r="V19" s="129" t="n"/>
      <c r="W19" s="133" t="n"/>
      <c r="X19" s="129" t="n"/>
    </row>
    <row r="20">
      <c r="A20" s="121" t="n"/>
      <c r="B20" s="183" t="inlineStr">
        <is>
          <t>TikTok</t>
        </is>
      </c>
      <c r="C20" s="184" t="n"/>
      <c r="D20" s="184" t="n"/>
      <c r="E20" s="184" t="n"/>
      <c r="F20" s="184" t="n"/>
      <c r="G20" s="184" t="n"/>
      <c r="H20" s="184" t="n"/>
      <c r="I20" s="184" t="n"/>
      <c r="J20" s="184" t="n"/>
      <c r="K20" s="184" t="n"/>
      <c r="L20" s="184" t="n"/>
      <c r="M20" s="184" t="n"/>
      <c r="N20" s="184" t="n"/>
      <c r="O20" s="184" t="n"/>
      <c r="P20" s="184" t="n"/>
      <c r="Q20" s="184" t="n"/>
      <c r="R20" s="184" t="n"/>
      <c r="S20" s="184" t="n"/>
      <c r="T20" s="184" t="n"/>
      <c r="U20" s="184" t="n"/>
      <c r="V20" s="184" t="n"/>
      <c r="W20" s="184" t="n"/>
      <c r="X20" s="185" t="n"/>
    </row>
    <row r="21">
      <c r="A21" s="132" t="inlineStr">
        <is>
          <t>IMCO</t>
        </is>
      </c>
      <c r="B21" s="126" t="n">
        <v>3117</v>
      </c>
      <c r="C21" s="14" t="n">
        <v>3412</v>
      </c>
      <c r="D21" s="127">
        <f>C21-B21</f>
        <v/>
      </c>
      <c r="E21" s="126" t="n">
        <v>3936</v>
      </c>
      <c r="F21" s="127">
        <f>E21-C21</f>
        <v/>
      </c>
      <c r="G21" s="133" t="n"/>
      <c r="H21" s="129" t="n"/>
      <c r="I21" s="133" t="n"/>
      <c r="J21" s="129" t="n"/>
      <c r="K21" s="133" t="n"/>
      <c r="L21" s="129" t="n"/>
      <c r="M21" s="133" t="n"/>
      <c r="N21" s="129" t="n"/>
      <c r="O21" s="133" t="n"/>
      <c r="P21" s="129" t="n"/>
      <c r="Q21" s="133" t="n"/>
      <c r="R21" s="129" t="n"/>
      <c r="S21" s="133" t="n"/>
      <c r="T21" s="129" t="n"/>
      <c r="U21" s="133" t="n"/>
      <c r="V21" s="129" t="n"/>
      <c r="W21" s="133" t="n"/>
      <c r="X21" s="129" t="n"/>
    </row>
    <row r="22">
      <c r="A22" s="132" t="inlineStr">
        <is>
          <t>México ¿Cómo vamos?</t>
        </is>
      </c>
      <c r="B22" s="133" t="n">
        <v>625</v>
      </c>
      <c r="C22" s="133" t="n">
        <v>689</v>
      </c>
      <c r="D22" s="129">
        <f>C22-B22</f>
        <v/>
      </c>
      <c r="E22" s="133" t="n">
        <v>729</v>
      </c>
      <c r="F22" s="129">
        <f>E22-C22</f>
        <v/>
      </c>
      <c r="G22" s="133" t="n"/>
      <c r="H22" s="129" t="n"/>
      <c r="I22" s="133" t="n"/>
      <c r="J22" s="129" t="n"/>
      <c r="K22" s="133" t="n"/>
      <c r="L22" s="129" t="n"/>
      <c r="M22" s="133" t="n"/>
      <c r="N22" s="129" t="n"/>
      <c r="O22" s="133" t="n"/>
      <c r="P22" s="129" t="n"/>
      <c r="Q22" s="133" t="n"/>
      <c r="R22" s="129" t="n"/>
      <c r="S22" s="133" t="n"/>
      <c r="T22" s="129" t="n"/>
      <c r="U22" s="133" t="n"/>
      <c r="V22" s="129" t="n"/>
      <c r="W22" s="133" t="n"/>
      <c r="X22" s="129" t="n"/>
    </row>
    <row r="23">
      <c r="A23" s="132" t="inlineStr">
        <is>
          <t>Mexicanos contra la corrupción</t>
        </is>
      </c>
      <c r="B23" s="126" t="n">
        <v>68300</v>
      </c>
      <c r="C23" s="126" t="n">
        <v>68800</v>
      </c>
      <c r="D23" s="127">
        <f>C23-B23</f>
        <v/>
      </c>
      <c r="E23" s="126" t="n">
        <v>69300</v>
      </c>
      <c r="F23" s="127">
        <f>E23-C23</f>
        <v/>
      </c>
      <c r="G23" s="133" t="n"/>
      <c r="H23" s="129" t="n"/>
      <c r="I23" s="133" t="n"/>
      <c r="J23" s="129" t="n"/>
      <c r="K23" s="133" t="n"/>
      <c r="L23" s="129" t="n"/>
      <c r="M23" s="133" t="n"/>
      <c r="N23" s="129" t="n"/>
      <c r="O23" s="133" t="n"/>
      <c r="P23" s="129" t="n"/>
      <c r="Q23" s="133" t="n"/>
      <c r="R23" s="129" t="n"/>
      <c r="S23" s="133" t="n"/>
      <c r="T23" s="129" t="n"/>
      <c r="U23" s="133" t="n"/>
      <c r="V23" s="129" t="n"/>
      <c r="W23" s="133" t="n"/>
      <c r="X23" s="129" t="n"/>
    </row>
    <row r="24">
      <c r="A24" s="132" t="inlineStr">
        <is>
          <t>México Evalúa</t>
        </is>
      </c>
      <c r="B24" s="133" t="n">
        <v>463</v>
      </c>
      <c r="C24" s="133" t="n">
        <v>473</v>
      </c>
      <c r="D24" s="129">
        <f>C24-B24</f>
        <v/>
      </c>
      <c r="E24" s="133" t="n">
        <v>489</v>
      </c>
      <c r="F24" s="129">
        <f>E24-C24</f>
        <v/>
      </c>
      <c r="G24" s="133" t="n"/>
      <c r="H24" s="129" t="n"/>
      <c r="I24" s="133" t="n"/>
      <c r="J24" s="129" t="n"/>
      <c r="K24" s="133" t="n"/>
      <c r="L24" s="129" t="n"/>
      <c r="M24" s="133" t="n"/>
      <c r="N24" s="129" t="n"/>
      <c r="O24" s="133" t="n"/>
      <c r="P24" s="129" t="n"/>
      <c r="Q24" s="133" t="n"/>
      <c r="R24" s="129" t="n"/>
      <c r="S24" s="133" t="n"/>
      <c r="T24" s="129" t="n"/>
      <c r="U24" s="133" t="n"/>
      <c r="V24" s="129" t="n"/>
      <c r="W24" s="133" t="n"/>
      <c r="X24" s="129" t="n"/>
    </row>
    <row r="25">
      <c r="L25" s="134" t="n"/>
      <c r="N25" s="134" t="n"/>
      <c r="P25" s="134" t="n"/>
      <c r="R25" s="134" t="n"/>
      <c r="T25" s="134" t="n"/>
      <c r="V25" s="134" t="n"/>
      <c r="X25" s="134" t="n"/>
    </row>
    <row r="26">
      <c r="L26" s="134" t="n"/>
      <c r="N26" s="134" t="n"/>
      <c r="P26" s="134" t="n"/>
      <c r="R26" s="134" t="n"/>
      <c r="T26" s="134" t="n"/>
      <c r="V26" s="134" t="n"/>
      <c r="X26" s="134" t="n"/>
    </row>
    <row r="27">
      <c r="L27" s="134" t="n"/>
      <c r="N27" s="134" t="n"/>
      <c r="P27" s="134" t="n"/>
      <c r="R27" s="134" t="n"/>
      <c r="T27" s="134" t="n"/>
      <c r="V27" s="134" t="n"/>
      <c r="X27" s="134" t="n"/>
    </row>
    <row r="28">
      <c r="L28" s="134" t="n"/>
      <c r="N28" s="134" t="n"/>
      <c r="P28" s="134" t="n"/>
      <c r="R28" s="134" t="n"/>
      <c r="T28" s="134" t="n"/>
      <c r="V28" s="134" t="n"/>
      <c r="X28" s="134" t="n"/>
    </row>
    <row r="29">
      <c r="L29" s="134" t="n"/>
      <c r="N29" s="134" t="n"/>
      <c r="P29" s="134" t="n"/>
      <c r="R29" s="134" t="n"/>
      <c r="T29" s="134" t="n"/>
      <c r="V29" s="134" t="n"/>
      <c r="X29" s="134" t="n"/>
    </row>
    <row r="30">
      <c r="L30" s="134" t="n"/>
      <c r="N30" s="134" t="n"/>
      <c r="P30" s="134" t="n"/>
      <c r="R30" s="134" t="n"/>
      <c r="T30" s="134" t="n"/>
      <c r="V30" s="134" t="n"/>
      <c r="X30" s="134" t="n"/>
    </row>
    <row r="31">
      <c r="L31" s="134" t="n"/>
      <c r="N31" s="134" t="n"/>
      <c r="P31" s="134" t="n"/>
      <c r="R31" s="134" t="n"/>
      <c r="T31" s="134" t="n"/>
      <c r="V31" s="134" t="n"/>
      <c r="X31" s="134" t="n"/>
    </row>
    <row r="32">
      <c r="L32" s="134" t="n"/>
      <c r="N32" s="134" t="n"/>
      <c r="P32" s="134" t="n"/>
      <c r="R32" s="134" t="n"/>
      <c r="T32" s="134" t="n"/>
      <c r="V32" s="134" t="n"/>
      <c r="X32" s="134" t="n"/>
    </row>
    <row r="33">
      <c r="L33" s="134" t="n"/>
      <c r="N33" s="134" t="n"/>
      <c r="P33" s="134" t="n"/>
      <c r="R33" s="134" t="n"/>
      <c r="T33" s="134" t="n"/>
      <c r="V33" s="134" t="n"/>
      <c r="X33" s="134" t="n"/>
    </row>
    <row r="34">
      <c r="L34" s="134" t="n"/>
      <c r="N34" s="134" t="n"/>
      <c r="P34" s="134" t="n"/>
      <c r="R34" s="134" t="n"/>
      <c r="T34" s="134" t="n"/>
      <c r="V34" s="134" t="n"/>
      <c r="X34" s="134" t="n"/>
    </row>
    <row r="35">
      <c r="L35" s="134" t="n"/>
      <c r="N35" s="134" t="n"/>
      <c r="P35" s="134" t="n"/>
      <c r="R35" s="134" t="n"/>
      <c r="T35" s="134" t="n"/>
      <c r="V35" s="134" t="n"/>
      <c r="X35" s="134" t="n"/>
    </row>
    <row r="36">
      <c r="L36" s="134" t="n"/>
      <c r="N36" s="134" t="n"/>
      <c r="P36" s="134" t="n"/>
      <c r="R36" s="134" t="n"/>
      <c r="T36" s="134" t="n"/>
      <c r="V36" s="134" t="n"/>
      <c r="X36" s="134" t="n"/>
    </row>
    <row r="37">
      <c r="L37" s="134" t="n"/>
      <c r="N37" s="134" t="n"/>
      <c r="P37" s="134" t="n"/>
      <c r="R37" s="134" t="n"/>
      <c r="T37" s="134" t="n"/>
      <c r="V37" s="134" t="n"/>
      <c r="X37" s="134" t="n"/>
    </row>
    <row r="38">
      <c r="L38" s="134" t="n"/>
      <c r="N38" s="134" t="n"/>
      <c r="P38" s="134" t="n"/>
      <c r="R38" s="134" t="n"/>
      <c r="T38" s="134" t="n"/>
      <c r="V38" s="134" t="n"/>
      <c r="X38" s="134" t="n"/>
    </row>
    <row r="39">
      <c r="L39" s="134" t="n"/>
      <c r="N39" s="134" t="n"/>
      <c r="P39" s="134" t="n"/>
      <c r="R39" s="134" t="n"/>
      <c r="T39" s="134" t="n"/>
      <c r="V39" s="134" t="n"/>
      <c r="X39" s="134" t="n"/>
    </row>
    <row r="40">
      <c r="L40" s="134" t="n"/>
      <c r="N40" s="134" t="n"/>
      <c r="P40" s="134" t="n"/>
      <c r="R40" s="134" t="n"/>
      <c r="T40" s="134" t="n"/>
      <c r="V40" s="134" t="n"/>
      <c r="X40" s="134" t="n"/>
    </row>
    <row r="41">
      <c r="L41" s="134" t="n"/>
      <c r="N41" s="134" t="n"/>
      <c r="P41" s="134" t="n"/>
      <c r="R41" s="134" t="n"/>
      <c r="T41" s="134" t="n"/>
      <c r="V41" s="134" t="n"/>
      <c r="X41" s="134" t="n"/>
    </row>
    <row r="42">
      <c r="L42" s="134" t="n"/>
      <c r="N42" s="134" t="n"/>
      <c r="P42" s="134" t="n"/>
      <c r="R42" s="134" t="n"/>
      <c r="T42" s="134" t="n"/>
      <c r="V42" s="134" t="n"/>
      <c r="X42" s="134" t="n"/>
    </row>
    <row r="43">
      <c r="L43" s="134" t="n"/>
      <c r="N43" s="134" t="n"/>
      <c r="P43" s="134" t="n"/>
      <c r="R43" s="134" t="n"/>
      <c r="T43" s="134" t="n"/>
      <c r="V43" s="134" t="n"/>
      <c r="X43" s="134" t="n"/>
    </row>
    <row r="44">
      <c r="L44" s="134" t="n"/>
      <c r="N44" s="134" t="n"/>
      <c r="P44" s="134" t="n"/>
      <c r="R44" s="134" t="n"/>
      <c r="T44" s="134" t="n"/>
      <c r="V44" s="134" t="n"/>
      <c r="X44" s="134" t="n"/>
    </row>
    <row r="45">
      <c r="L45" s="134" t="n"/>
      <c r="N45" s="134" t="n"/>
      <c r="P45" s="134" t="n"/>
      <c r="R45" s="134" t="n"/>
      <c r="T45" s="134" t="n"/>
      <c r="V45" s="134" t="n"/>
      <c r="X45" s="134" t="n"/>
    </row>
    <row r="46">
      <c r="L46" s="134" t="n"/>
      <c r="N46" s="134" t="n"/>
      <c r="P46" s="134" t="n"/>
      <c r="R46" s="134" t="n"/>
      <c r="T46" s="134" t="n"/>
      <c r="V46" s="134" t="n"/>
      <c r="X46" s="134" t="n"/>
    </row>
    <row r="47">
      <c r="L47" s="134" t="n"/>
      <c r="N47" s="134" t="n"/>
      <c r="P47" s="134" t="n"/>
      <c r="R47" s="134" t="n"/>
      <c r="T47" s="134" t="n"/>
      <c r="V47" s="134" t="n"/>
      <c r="X47" s="134" t="n"/>
    </row>
    <row r="48">
      <c r="L48" s="134" t="n"/>
      <c r="N48" s="134" t="n"/>
      <c r="P48" s="134" t="n"/>
      <c r="R48" s="134" t="n"/>
      <c r="T48" s="134" t="n"/>
      <c r="V48" s="134" t="n"/>
      <c r="X48" s="134" t="n"/>
    </row>
    <row r="49">
      <c r="L49" s="134" t="n"/>
      <c r="N49" s="134" t="n"/>
      <c r="P49" s="134" t="n"/>
      <c r="R49" s="134" t="n"/>
      <c r="T49" s="134" t="n"/>
      <c r="V49" s="134" t="n"/>
      <c r="X49" s="134" t="n"/>
    </row>
    <row r="50">
      <c r="L50" s="134" t="n"/>
      <c r="N50" s="134" t="n"/>
      <c r="P50" s="134" t="n"/>
      <c r="R50" s="134" t="n"/>
      <c r="T50" s="134" t="n"/>
      <c r="V50" s="134" t="n"/>
      <c r="X50" s="134" t="n"/>
    </row>
    <row r="51">
      <c r="L51" s="134" t="n"/>
      <c r="N51" s="134" t="n"/>
      <c r="P51" s="134" t="n"/>
      <c r="R51" s="134" t="n"/>
      <c r="T51" s="134" t="n"/>
      <c r="V51" s="134" t="n"/>
      <c r="X51" s="134" t="n"/>
    </row>
    <row r="52">
      <c r="L52" s="134" t="n"/>
      <c r="N52" s="134" t="n"/>
      <c r="P52" s="134" t="n"/>
      <c r="R52" s="134" t="n"/>
      <c r="T52" s="134" t="n"/>
      <c r="V52" s="134" t="n"/>
      <c r="X52" s="134" t="n"/>
    </row>
    <row r="53">
      <c r="L53" s="134" t="n"/>
      <c r="N53" s="134" t="n"/>
      <c r="P53" s="134" t="n"/>
      <c r="R53" s="134" t="n"/>
      <c r="T53" s="134" t="n"/>
      <c r="V53" s="134" t="n"/>
      <c r="X53" s="134" t="n"/>
    </row>
    <row r="54">
      <c r="L54" s="134" t="n"/>
      <c r="N54" s="134" t="n"/>
      <c r="P54" s="134" t="n"/>
      <c r="R54" s="134" t="n"/>
      <c r="T54" s="134" t="n"/>
      <c r="V54" s="134" t="n"/>
      <c r="X54" s="134" t="n"/>
    </row>
    <row r="55">
      <c r="L55" s="134" t="n"/>
      <c r="N55" s="134" t="n"/>
      <c r="P55" s="134" t="n"/>
      <c r="R55" s="134" t="n"/>
      <c r="T55" s="134" t="n"/>
      <c r="V55" s="134" t="n"/>
      <c r="X55" s="134" t="n"/>
    </row>
    <row r="56">
      <c r="L56" s="134" t="n"/>
      <c r="N56" s="134" t="n"/>
      <c r="P56" s="134" t="n"/>
      <c r="R56" s="134" t="n"/>
      <c r="T56" s="134" t="n"/>
      <c r="V56" s="134" t="n"/>
      <c r="X56" s="134" t="n"/>
    </row>
    <row r="57">
      <c r="L57" s="134" t="n"/>
      <c r="N57" s="134" t="n"/>
      <c r="P57" s="134" t="n"/>
      <c r="R57" s="134" t="n"/>
      <c r="T57" s="134" t="n"/>
      <c r="V57" s="134" t="n"/>
      <c r="X57" s="134" t="n"/>
    </row>
    <row r="58">
      <c r="L58" s="134" t="n"/>
      <c r="N58" s="134" t="n"/>
      <c r="P58" s="134" t="n"/>
      <c r="R58" s="134" t="n"/>
      <c r="T58" s="134" t="n"/>
      <c r="V58" s="134" t="n"/>
      <c r="X58" s="134" t="n"/>
    </row>
    <row r="59">
      <c r="L59" s="134" t="n"/>
      <c r="N59" s="134" t="n"/>
      <c r="P59" s="134" t="n"/>
      <c r="R59" s="134" t="n"/>
      <c r="T59" s="134" t="n"/>
      <c r="V59" s="134" t="n"/>
      <c r="X59" s="134" t="n"/>
    </row>
    <row r="60">
      <c r="L60" s="134" t="n"/>
      <c r="N60" s="134" t="n"/>
      <c r="P60" s="134" t="n"/>
      <c r="R60" s="134" t="n"/>
      <c r="T60" s="134" t="n"/>
      <c r="V60" s="134" t="n"/>
      <c r="X60" s="134" t="n"/>
    </row>
    <row r="61">
      <c r="L61" s="134" t="n"/>
      <c r="N61" s="134" t="n"/>
      <c r="P61" s="134" t="n"/>
      <c r="R61" s="134" t="n"/>
      <c r="T61" s="134" t="n"/>
      <c r="V61" s="134" t="n"/>
      <c r="X61" s="134" t="n"/>
    </row>
    <row r="62">
      <c r="L62" s="134" t="n"/>
      <c r="N62" s="134" t="n"/>
      <c r="P62" s="134" t="n"/>
      <c r="R62" s="134" t="n"/>
      <c r="T62" s="134" t="n"/>
      <c r="V62" s="134" t="n"/>
      <c r="X62" s="134" t="n"/>
    </row>
    <row r="63">
      <c r="L63" s="134" t="n"/>
      <c r="N63" s="134" t="n"/>
      <c r="P63" s="134" t="n"/>
      <c r="R63" s="134" t="n"/>
      <c r="T63" s="134" t="n"/>
      <c r="V63" s="134" t="n"/>
      <c r="X63" s="134" t="n"/>
    </row>
    <row r="64">
      <c r="L64" s="134" t="n"/>
      <c r="N64" s="134" t="n"/>
      <c r="P64" s="134" t="n"/>
      <c r="R64" s="134" t="n"/>
      <c r="T64" s="134" t="n"/>
      <c r="V64" s="134" t="n"/>
      <c r="X64" s="134" t="n"/>
    </row>
    <row r="65">
      <c r="L65" s="134" t="n"/>
      <c r="N65" s="134" t="n"/>
      <c r="P65" s="134" t="n"/>
      <c r="R65" s="134" t="n"/>
      <c r="T65" s="134" t="n"/>
      <c r="V65" s="134" t="n"/>
      <c r="X65" s="134" t="n"/>
    </row>
    <row r="66">
      <c r="L66" s="134" t="n"/>
      <c r="N66" s="134" t="n"/>
      <c r="P66" s="134" t="n"/>
      <c r="R66" s="134" t="n"/>
      <c r="T66" s="134" t="n"/>
      <c r="V66" s="134" t="n"/>
      <c r="X66" s="134" t="n"/>
    </row>
    <row r="67">
      <c r="L67" s="134" t="n"/>
      <c r="N67" s="134" t="n"/>
      <c r="P67" s="134" t="n"/>
      <c r="R67" s="134" t="n"/>
      <c r="T67" s="134" t="n"/>
      <c r="V67" s="134" t="n"/>
      <c r="X67" s="134" t="n"/>
    </row>
    <row r="68">
      <c r="L68" s="134" t="n"/>
      <c r="N68" s="134" t="n"/>
      <c r="P68" s="134" t="n"/>
      <c r="R68" s="134" t="n"/>
      <c r="T68" s="134" t="n"/>
      <c r="V68" s="134" t="n"/>
      <c r="X68" s="134" t="n"/>
    </row>
    <row r="69">
      <c r="L69" s="134" t="n"/>
      <c r="N69" s="134" t="n"/>
      <c r="P69" s="134" t="n"/>
      <c r="R69" s="134" t="n"/>
      <c r="T69" s="134" t="n"/>
      <c r="V69" s="134" t="n"/>
      <c r="X69" s="134" t="n"/>
    </row>
    <row r="70">
      <c r="L70" s="134" t="n"/>
      <c r="N70" s="134" t="n"/>
      <c r="P70" s="134" t="n"/>
      <c r="R70" s="134" t="n"/>
      <c r="T70" s="134" t="n"/>
      <c r="V70" s="134" t="n"/>
      <c r="X70" s="134" t="n"/>
    </row>
    <row r="71">
      <c r="L71" s="134" t="n"/>
      <c r="N71" s="134" t="n"/>
      <c r="P71" s="134" t="n"/>
      <c r="R71" s="134" t="n"/>
      <c r="T71" s="134" t="n"/>
      <c r="V71" s="134" t="n"/>
      <c r="X71" s="134" t="n"/>
    </row>
    <row r="72">
      <c r="L72" s="134" t="n"/>
      <c r="N72" s="134" t="n"/>
      <c r="P72" s="134" t="n"/>
      <c r="R72" s="134" t="n"/>
      <c r="T72" s="134" t="n"/>
      <c r="V72" s="134" t="n"/>
      <c r="X72" s="134" t="n"/>
    </row>
    <row r="73">
      <c r="L73" s="134" t="n"/>
      <c r="N73" s="134" t="n"/>
      <c r="P73" s="134" t="n"/>
      <c r="R73" s="134" t="n"/>
      <c r="T73" s="134" t="n"/>
      <c r="V73" s="134" t="n"/>
      <c r="X73" s="134" t="n"/>
    </row>
    <row r="74">
      <c r="L74" s="134" t="n"/>
      <c r="N74" s="134" t="n"/>
      <c r="P74" s="134" t="n"/>
      <c r="R74" s="134" t="n"/>
      <c r="T74" s="134" t="n"/>
      <c r="V74" s="134" t="n"/>
      <c r="X74" s="134" t="n"/>
    </row>
    <row r="75">
      <c r="L75" s="134" t="n"/>
      <c r="N75" s="134" t="n"/>
      <c r="P75" s="134" t="n"/>
      <c r="R75" s="134" t="n"/>
      <c r="T75" s="134" t="n"/>
      <c r="V75" s="134" t="n"/>
      <c r="X75" s="134" t="n"/>
    </row>
    <row r="76">
      <c r="L76" s="134" t="n"/>
      <c r="N76" s="134" t="n"/>
      <c r="P76" s="134" t="n"/>
      <c r="R76" s="134" t="n"/>
      <c r="T76" s="134" t="n"/>
      <c r="V76" s="134" t="n"/>
      <c r="X76" s="134" t="n"/>
    </row>
    <row r="77">
      <c r="L77" s="134" t="n"/>
      <c r="N77" s="134" t="n"/>
      <c r="P77" s="134" t="n"/>
      <c r="R77" s="134" t="n"/>
      <c r="T77" s="134" t="n"/>
      <c r="V77" s="134" t="n"/>
      <c r="X77" s="134" t="n"/>
    </row>
    <row r="78">
      <c r="L78" s="134" t="n"/>
      <c r="N78" s="134" t="n"/>
      <c r="P78" s="134" t="n"/>
      <c r="R78" s="134" t="n"/>
      <c r="T78" s="134" t="n"/>
      <c r="V78" s="134" t="n"/>
      <c r="X78" s="134" t="n"/>
    </row>
    <row r="79">
      <c r="L79" s="134" t="n"/>
      <c r="N79" s="134" t="n"/>
      <c r="P79" s="134" t="n"/>
      <c r="R79" s="134" t="n"/>
      <c r="T79" s="134" t="n"/>
      <c r="V79" s="134" t="n"/>
      <c r="X79" s="134" t="n"/>
    </row>
    <row r="80">
      <c r="L80" s="134" t="n"/>
      <c r="N80" s="134" t="n"/>
      <c r="P80" s="134" t="n"/>
      <c r="R80" s="134" t="n"/>
      <c r="T80" s="134" t="n"/>
      <c r="V80" s="134" t="n"/>
      <c r="X80" s="134" t="n"/>
    </row>
    <row r="81">
      <c r="L81" s="134" t="n"/>
      <c r="N81" s="134" t="n"/>
      <c r="P81" s="134" t="n"/>
      <c r="R81" s="134" t="n"/>
      <c r="T81" s="134" t="n"/>
      <c r="V81" s="134" t="n"/>
      <c r="X81" s="134" t="n"/>
    </row>
    <row r="82">
      <c r="L82" s="134" t="n"/>
      <c r="N82" s="134" t="n"/>
      <c r="P82" s="134" t="n"/>
      <c r="R82" s="134" t="n"/>
      <c r="T82" s="134" t="n"/>
      <c r="V82" s="134" t="n"/>
      <c r="X82" s="134" t="n"/>
    </row>
    <row r="83">
      <c r="L83" s="134" t="n"/>
      <c r="N83" s="134" t="n"/>
      <c r="P83" s="134" t="n"/>
      <c r="R83" s="134" t="n"/>
      <c r="T83" s="134" t="n"/>
      <c r="V83" s="134" t="n"/>
      <c r="X83" s="134" t="n"/>
    </row>
    <row r="84">
      <c r="L84" s="134" t="n"/>
      <c r="N84" s="134" t="n"/>
      <c r="P84" s="134" t="n"/>
      <c r="R84" s="134" t="n"/>
      <c r="T84" s="134" t="n"/>
      <c r="V84" s="134" t="n"/>
      <c r="X84" s="134" t="n"/>
    </row>
    <row r="85">
      <c r="L85" s="134" t="n"/>
      <c r="N85" s="134" t="n"/>
      <c r="P85" s="134" t="n"/>
      <c r="R85" s="134" t="n"/>
      <c r="T85" s="134" t="n"/>
      <c r="V85" s="134" t="n"/>
      <c r="X85" s="134" t="n"/>
    </row>
    <row r="86">
      <c r="L86" s="134" t="n"/>
      <c r="N86" s="134" t="n"/>
      <c r="P86" s="134" t="n"/>
      <c r="R86" s="134" t="n"/>
      <c r="T86" s="134" t="n"/>
      <c r="V86" s="134" t="n"/>
      <c r="X86" s="134" t="n"/>
    </row>
    <row r="87">
      <c r="L87" s="134" t="n"/>
      <c r="N87" s="134" t="n"/>
      <c r="P87" s="134" t="n"/>
      <c r="R87" s="134" t="n"/>
      <c r="T87" s="134" t="n"/>
      <c r="V87" s="134" t="n"/>
      <c r="X87" s="134" t="n"/>
    </row>
    <row r="88">
      <c r="L88" s="134" t="n"/>
      <c r="N88" s="134" t="n"/>
      <c r="P88" s="134" t="n"/>
      <c r="R88" s="134" t="n"/>
      <c r="T88" s="134" t="n"/>
      <c r="V88" s="134" t="n"/>
      <c r="X88" s="134" t="n"/>
    </row>
    <row r="89">
      <c r="L89" s="134" t="n"/>
      <c r="N89" s="134" t="n"/>
      <c r="P89" s="134" t="n"/>
      <c r="R89" s="134" t="n"/>
      <c r="T89" s="134" t="n"/>
      <c r="V89" s="134" t="n"/>
      <c r="X89" s="134" t="n"/>
    </row>
    <row r="90">
      <c r="L90" s="134" t="n"/>
      <c r="N90" s="134" t="n"/>
      <c r="P90" s="134" t="n"/>
      <c r="R90" s="134" t="n"/>
      <c r="T90" s="134" t="n"/>
      <c r="V90" s="134" t="n"/>
      <c r="X90" s="134" t="n"/>
    </row>
    <row r="91">
      <c r="L91" s="134" t="n"/>
      <c r="N91" s="134" t="n"/>
      <c r="P91" s="134" t="n"/>
      <c r="R91" s="134" t="n"/>
      <c r="T91" s="134" t="n"/>
      <c r="V91" s="134" t="n"/>
      <c r="X91" s="134" t="n"/>
    </row>
    <row r="92">
      <c r="L92" s="134" t="n"/>
      <c r="N92" s="134" t="n"/>
      <c r="P92" s="134" t="n"/>
      <c r="R92" s="134" t="n"/>
      <c r="T92" s="134" t="n"/>
      <c r="V92" s="134" t="n"/>
      <c r="X92" s="134" t="n"/>
    </row>
    <row r="93">
      <c r="L93" s="134" t="n"/>
      <c r="N93" s="134" t="n"/>
      <c r="P93" s="134" t="n"/>
      <c r="R93" s="134" t="n"/>
      <c r="T93" s="134" t="n"/>
      <c r="V93" s="134" t="n"/>
      <c r="X93" s="134" t="n"/>
    </row>
    <row r="94">
      <c r="L94" s="134" t="n"/>
      <c r="N94" s="134" t="n"/>
      <c r="P94" s="134" t="n"/>
      <c r="R94" s="134" t="n"/>
      <c r="T94" s="134" t="n"/>
      <c r="V94" s="134" t="n"/>
      <c r="X94" s="134" t="n"/>
    </row>
    <row r="95">
      <c r="L95" s="134" t="n"/>
      <c r="N95" s="134" t="n"/>
      <c r="P95" s="134" t="n"/>
      <c r="R95" s="134" t="n"/>
      <c r="T95" s="134" t="n"/>
      <c r="V95" s="134" t="n"/>
      <c r="X95" s="134" t="n"/>
    </row>
    <row r="96">
      <c r="L96" s="134" t="n"/>
      <c r="N96" s="134" t="n"/>
      <c r="P96" s="134" t="n"/>
      <c r="R96" s="134" t="n"/>
      <c r="T96" s="134" t="n"/>
      <c r="V96" s="134" t="n"/>
      <c r="X96" s="134" t="n"/>
    </row>
    <row r="97">
      <c r="L97" s="134" t="n"/>
      <c r="N97" s="134" t="n"/>
      <c r="P97" s="134" t="n"/>
      <c r="R97" s="134" t="n"/>
      <c r="T97" s="134" t="n"/>
      <c r="V97" s="134" t="n"/>
      <c r="X97" s="134" t="n"/>
    </row>
    <row r="98">
      <c r="L98" s="134" t="n"/>
      <c r="N98" s="134" t="n"/>
      <c r="P98" s="134" t="n"/>
      <c r="R98" s="134" t="n"/>
      <c r="T98" s="134" t="n"/>
      <c r="V98" s="134" t="n"/>
      <c r="X98" s="134" t="n"/>
    </row>
    <row r="99">
      <c r="L99" s="134" t="n"/>
      <c r="N99" s="134" t="n"/>
      <c r="P99" s="134" t="n"/>
      <c r="R99" s="134" t="n"/>
      <c r="T99" s="134" t="n"/>
      <c r="V99" s="134" t="n"/>
      <c r="X99" s="134" t="n"/>
    </row>
    <row r="100">
      <c r="L100" s="134" t="n"/>
      <c r="N100" s="134" t="n"/>
      <c r="P100" s="134" t="n"/>
      <c r="R100" s="134" t="n"/>
      <c r="T100" s="134" t="n"/>
      <c r="V100" s="134" t="n"/>
      <c r="X100" s="134" t="n"/>
    </row>
    <row r="101">
      <c r="L101" s="134" t="n"/>
      <c r="N101" s="134" t="n"/>
      <c r="P101" s="134" t="n"/>
      <c r="R101" s="134" t="n"/>
      <c r="T101" s="134" t="n"/>
      <c r="V101" s="134" t="n"/>
      <c r="X101" s="134" t="n"/>
    </row>
    <row r="102">
      <c r="L102" s="134" t="n"/>
      <c r="N102" s="134" t="n"/>
      <c r="P102" s="134" t="n"/>
      <c r="R102" s="134" t="n"/>
      <c r="T102" s="134" t="n"/>
      <c r="V102" s="134" t="n"/>
      <c r="X102" s="134" t="n"/>
    </row>
    <row r="103">
      <c r="L103" s="134" t="n"/>
      <c r="N103" s="134" t="n"/>
      <c r="P103" s="134" t="n"/>
      <c r="R103" s="134" t="n"/>
      <c r="T103" s="134" t="n"/>
      <c r="V103" s="134" t="n"/>
      <c r="X103" s="134" t="n"/>
    </row>
    <row r="104">
      <c r="L104" s="134" t="n"/>
      <c r="N104" s="134" t="n"/>
      <c r="P104" s="134" t="n"/>
      <c r="R104" s="134" t="n"/>
      <c r="T104" s="134" t="n"/>
      <c r="V104" s="134" t="n"/>
      <c r="X104" s="134" t="n"/>
    </row>
    <row r="105">
      <c r="L105" s="134" t="n"/>
      <c r="N105" s="134" t="n"/>
      <c r="P105" s="134" t="n"/>
      <c r="R105" s="134" t="n"/>
      <c r="T105" s="134" t="n"/>
      <c r="V105" s="134" t="n"/>
      <c r="X105" s="134" t="n"/>
    </row>
    <row r="106">
      <c r="L106" s="134" t="n"/>
      <c r="N106" s="134" t="n"/>
      <c r="P106" s="134" t="n"/>
      <c r="R106" s="134" t="n"/>
      <c r="T106" s="134" t="n"/>
      <c r="V106" s="134" t="n"/>
      <c r="X106" s="134" t="n"/>
    </row>
    <row r="107">
      <c r="L107" s="134" t="n"/>
      <c r="N107" s="134" t="n"/>
      <c r="P107" s="134" t="n"/>
      <c r="R107" s="134" t="n"/>
      <c r="T107" s="134" t="n"/>
      <c r="V107" s="134" t="n"/>
      <c r="X107" s="134" t="n"/>
    </row>
    <row r="108">
      <c r="L108" s="134" t="n"/>
      <c r="N108" s="134" t="n"/>
      <c r="P108" s="134" t="n"/>
      <c r="R108" s="134" t="n"/>
      <c r="T108" s="134" t="n"/>
      <c r="V108" s="134" t="n"/>
      <c r="X108" s="134" t="n"/>
    </row>
    <row r="109">
      <c r="L109" s="134" t="n"/>
      <c r="N109" s="134" t="n"/>
      <c r="P109" s="134" t="n"/>
      <c r="R109" s="134" t="n"/>
      <c r="T109" s="134" t="n"/>
      <c r="V109" s="134" t="n"/>
      <c r="X109" s="134" t="n"/>
    </row>
    <row r="110">
      <c r="L110" s="134" t="n"/>
      <c r="N110" s="134" t="n"/>
      <c r="P110" s="134" t="n"/>
      <c r="R110" s="134" t="n"/>
      <c r="T110" s="134" t="n"/>
      <c r="V110" s="134" t="n"/>
      <c r="X110" s="134" t="n"/>
    </row>
    <row r="111">
      <c r="L111" s="134" t="n"/>
      <c r="N111" s="134" t="n"/>
      <c r="P111" s="134" t="n"/>
      <c r="R111" s="134" t="n"/>
      <c r="T111" s="134" t="n"/>
      <c r="V111" s="134" t="n"/>
      <c r="X111" s="134" t="n"/>
    </row>
    <row r="112">
      <c r="L112" s="134" t="n"/>
      <c r="N112" s="134" t="n"/>
      <c r="P112" s="134" t="n"/>
      <c r="R112" s="134" t="n"/>
      <c r="T112" s="134" t="n"/>
      <c r="V112" s="134" t="n"/>
      <c r="X112" s="134" t="n"/>
    </row>
    <row r="113">
      <c r="L113" s="134" t="n"/>
      <c r="N113" s="134" t="n"/>
      <c r="P113" s="134" t="n"/>
      <c r="R113" s="134" t="n"/>
      <c r="T113" s="134" t="n"/>
      <c r="V113" s="134" t="n"/>
      <c r="X113" s="134" t="n"/>
    </row>
    <row r="114">
      <c r="L114" s="134" t="n"/>
      <c r="N114" s="134" t="n"/>
      <c r="P114" s="134" t="n"/>
      <c r="R114" s="134" t="n"/>
      <c r="T114" s="134" t="n"/>
      <c r="V114" s="134" t="n"/>
      <c r="X114" s="134" t="n"/>
    </row>
    <row r="115">
      <c r="L115" s="134" t="n"/>
      <c r="N115" s="134" t="n"/>
      <c r="P115" s="134" t="n"/>
      <c r="R115" s="134" t="n"/>
      <c r="T115" s="134" t="n"/>
      <c r="V115" s="134" t="n"/>
      <c r="X115" s="134" t="n"/>
    </row>
    <row r="116">
      <c r="L116" s="134" t="n"/>
      <c r="N116" s="134" t="n"/>
      <c r="P116" s="134" t="n"/>
      <c r="R116" s="134" t="n"/>
      <c r="T116" s="134" t="n"/>
      <c r="V116" s="134" t="n"/>
      <c r="X116" s="134" t="n"/>
    </row>
    <row r="117">
      <c r="L117" s="134" t="n"/>
      <c r="N117" s="134" t="n"/>
      <c r="P117" s="134" t="n"/>
      <c r="R117" s="134" t="n"/>
      <c r="T117" s="134" t="n"/>
      <c r="V117" s="134" t="n"/>
      <c r="X117" s="134" t="n"/>
    </row>
    <row r="118">
      <c r="L118" s="134" t="n"/>
      <c r="N118" s="134" t="n"/>
      <c r="P118" s="134" t="n"/>
      <c r="R118" s="134" t="n"/>
      <c r="T118" s="134" t="n"/>
      <c r="V118" s="134" t="n"/>
      <c r="X118" s="134" t="n"/>
    </row>
    <row r="119">
      <c r="L119" s="134" t="n"/>
      <c r="N119" s="134" t="n"/>
      <c r="P119" s="134" t="n"/>
      <c r="R119" s="134" t="n"/>
      <c r="T119" s="134" t="n"/>
      <c r="V119" s="134" t="n"/>
      <c r="X119" s="134" t="n"/>
    </row>
    <row r="120">
      <c r="L120" s="134" t="n"/>
      <c r="N120" s="134" t="n"/>
      <c r="P120" s="134" t="n"/>
      <c r="R120" s="134" t="n"/>
      <c r="T120" s="134" t="n"/>
      <c r="V120" s="134" t="n"/>
      <c r="X120" s="134" t="n"/>
    </row>
    <row r="121">
      <c r="L121" s="134" t="n"/>
      <c r="N121" s="134" t="n"/>
      <c r="P121" s="134" t="n"/>
      <c r="R121" s="134" t="n"/>
      <c r="T121" s="134" t="n"/>
      <c r="V121" s="134" t="n"/>
      <c r="X121" s="134" t="n"/>
    </row>
    <row r="122">
      <c r="L122" s="134" t="n"/>
      <c r="N122" s="134" t="n"/>
      <c r="P122" s="134" t="n"/>
      <c r="R122" s="134" t="n"/>
      <c r="T122" s="134" t="n"/>
      <c r="V122" s="134" t="n"/>
      <c r="X122" s="134" t="n"/>
    </row>
    <row r="123">
      <c r="L123" s="134" t="n"/>
      <c r="N123" s="134" t="n"/>
      <c r="P123" s="134" t="n"/>
      <c r="R123" s="134" t="n"/>
      <c r="T123" s="134" t="n"/>
      <c r="V123" s="134" t="n"/>
      <c r="X123" s="134" t="n"/>
    </row>
    <row r="124">
      <c r="L124" s="134" t="n"/>
      <c r="N124" s="134" t="n"/>
      <c r="P124" s="134" t="n"/>
      <c r="R124" s="134" t="n"/>
      <c r="T124" s="134" t="n"/>
      <c r="V124" s="134" t="n"/>
      <c r="X124" s="134" t="n"/>
    </row>
    <row r="125">
      <c r="L125" s="134" t="n"/>
      <c r="N125" s="134" t="n"/>
      <c r="P125" s="134" t="n"/>
      <c r="R125" s="134" t="n"/>
      <c r="T125" s="134" t="n"/>
      <c r="V125" s="134" t="n"/>
      <c r="X125" s="134" t="n"/>
    </row>
    <row r="126">
      <c r="L126" s="134" t="n"/>
      <c r="N126" s="134" t="n"/>
      <c r="P126" s="134" t="n"/>
      <c r="R126" s="134" t="n"/>
      <c r="T126" s="134" t="n"/>
      <c r="V126" s="134" t="n"/>
      <c r="X126" s="134" t="n"/>
    </row>
    <row r="127">
      <c r="L127" s="134" t="n"/>
      <c r="N127" s="134" t="n"/>
      <c r="P127" s="134" t="n"/>
      <c r="R127" s="134" t="n"/>
      <c r="T127" s="134" t="n"/>
      <c r="V127" s="134" t="n"/>
      <c r="X127" s="134" t="n"/>
    </row>
    <row r="128">
      <c r="L128" s="134" t="n"/>
      <c r="N128" s="134" t="n"/>
      <c r="P128" s="134" t="n"/>
      <c r="R128" s="134" t="n"/>
      <c r="T128" s="134" t="n"/>
      <c r="V128" s="134" t="n"/>
      <c r="X128" s="134" t="n"/>
    </row>
    <row r="129">
      <c r="L129" s="134" t="n"/>
      <c r="N129" s="134" t="n"/>
      <c r="P129" s="134" t="n"/>
      <c r="R129" s="134" t="n"/>
      <c r="T129" s="134" t="n"/>
      <c r="V129" s="134" t="n"/>
      <c r="X129" s="134" t="n"/>
    </row>
    <row r="130">
      <c r="L130" s="134" t="n"/>
      <c r="N130" s="134" t="n"/>
      <c r="P130" s="134" t="n"/>
      <c r="R130" s="134" t="n"/>
      <c r="T130" s="134" t="n"/>
      <c r="V130" s="134" t="n"/>
      <c r="X130" s="134" t="n"/>
    </row>
    <row r="131">
      <c r="L131" s="134" t="n"/>
      <c r="N131" s="134" t="n"/>
      <c r="P131" s="134" t="n"/>
      <c r="R131" s="134" t="n"/>
      <c r="T131" s="134" t="n"/>
      <c r="V131" s="134" t="n"/>
      <c r="X131" s="134" t="n"/>
    </row>
    <row r="132">
      <c r="L132" s="134" t="n"/>
      <c r="N132" s="134" t="n"/>
      <c r="P132" s="134" t="n"/>
      <c r="R132" s="134" t="n"/>
      <c r="T132" s="134" t="n"/>
      <c r="V132" s="134" t="n"/>
      <c r="X132" s="134" t="n"/>
    </row>
    <row r="133">
      <c r="L133" s="134" t="n"/>
      <c r="N133" s="134" t="n"/>
      <c r="P133" s="134" t="n"/>
      <c r="R133" s="134" t="n"/>
      <c r="T133" s="134" t="n"/>
      <c r="V133" s="134" t="n"/>
      <c r="X133" s="134" t="n"/>
    </row>
    <row r="134">
      <c r="L134" s="134" t="n"/>
      <c r="N134" s="134" t="n"/>
      <c r="P134" s="134" t="n"/>
      <c r="R134" s="134" t="n"/>
      <c r="T134" s="134" t="n"/>
      <c r="V134" s="134" t="n"/>
      <c r="X134" s="134" t="n"/>
    </row>
    <row r="135">
      <c r="L135" s="134" t="n"/>
      <c r="N135" s="134" t="n"/>
      <c r="P135" s="134" t="n"/>
      <c r="R135" s="134" t="n"/>
      <c r="T135" s="134" t="n"/>
      <c r="V135" s="134" t="n"/>
      <c r="X135" s="134" t="n"/>
    </row>
    <row r="136">
      <c r="L136" s="134" t="n"/>
      <c r="N136" s="134" t="n"/>
      <c r="P136" s="134" t="n"/>
      <c r="R136" s="134" t="n"/>
      <c r="T136" s="134" t="n"/>
      <c r="V136" s="134" t="n"/>
      <c r="X136" s="134" t="n"/>
    </row>
    <row r="137">
      <c r="L137" s="134" t="n"/>
      <c r="N137" s="134" t="n"/>
      <c r="P137" s="134" t="n"/>
      <c r="R137" s="134" t="n"/>
      <c r="T137" s="134" t="n"/>
      <c r="V137" s="134" t="n"/>
      <c r="X137" s="134" t="n"/>
    </row>
    <row r="138">
      <c r="L138" s="134" t="n"/>
      <c r="N138" s="134" t="n"/>
      <c r="P138" s="134" t="n"/>
      <c r="R138" s="134" t="n"/>
      <c r="T138" s="134" t="n"/>
      <c r="V138" s="134" t="n"/>
      <c r="X138" s="134" t="n"/>
    </row>
    <row r="139">
      <c r="L139" s="134" t="n"/>
      <c r="N139" s="134" t="n"/>
      <c r="P139" s="134" t="n"/>
      <c r="R139" s="134" t="n"/>
      <c r="T139" s="134" t="n"/>
      <c r="V139" s="134" t="n"/>
      <c r="X139" s="134" t="n"/>
    </row>
    <row r="140">
      <c r="L140" s="134" t="n"/>
      <c r="N140" s="134" t="n"/>
      <c r="P140" s="134" t="n"/>
      <c r="R140" s="134" t="n"/>
      <c r="T140" s="134" t="n"/>
      <c r="V140" s="134" t="n"/>
      <c r="X140" s="134" t="n"/>
    </row>
    <row r="141">
      <c r="L141" s="134" t="n"/>
      <c r="N141" s="134" t="n"/>
      <c r="P141" s="134" t="n"/>
      <c r="R141" s="134" t="n"/>
      <c r="T141" s="134" t="n"/>
      <c r="V141" s="134" t="n"/>
      <c r="X141" s="134" t="n"/>
    </row>
    <row r="142">
      <c r="L142" s="134" t="n"/>
      <c r="N142" s="134" t="n"/>
      <c r="P142" s="134" t="n"/>
      <c r="R142" s="134" t="n"/>
      <c r="T142" s="134" t="n"/>
      <c r="V142" s="134" t="n"/>
      <c r="X142" s="134" t="n"/>
    </row>
    <row r="143">
      <c r="L143" s="134" t="n"/>
      <c r="N143" s="134" t="n"/>
      <c r="P143" s="134" t="n"/>
      <c r="R143" s="134" t="n"/>
      <c r="T143" s="134" t="n"/>
      <c r="V143" s="134" t="n"/>
      <c r="X143" s="134" t="n"/>
    </row>
    <row r="144">
      <c r="L144" s="134" t="n"/>
      <c r="N144" s="134" t="n"/>
      <c r="P144" s="134" t="n"/>
      <c r="R144" s="134" t="n"/>
      <c r="T144" s="134" t="n"/>
      <c r="V144" s="134" t="n"/>
      <c r="X144" s="134" t="n"/>
    </row>
    <row r="145">
      <c r="L145" s="134" t="n"/>
      <c r="N145" s="134" t="n"/>
      <c r="P145" s="134" t="n"/>
      <c r="R145" s="134" t="n"/>
      <c r="T145" s="134" t="n"/>
      <c r="V145" s="134" t="n"/>
      <c r="X145" s="134" t="n"/>
    </row>
    <row r="146">
      <c r="L146" s="134" t="n"/>
      <c r="N146" s="134" t="n"/>
      <c r="P146" s="134" t="n"/>
      <c r="R146" s="134" t="n"/>
      <c r="T146" s="134" t="n"/>
      <c r="V146" s="134" t="n"/>
      <c r="X146" s="134" t="n"/>
    </row>
    <row r="147">
      <c r="L147" s="134" t="n"/>
      <c r="N147" s="134" t="n"/>
      <c r="P147" s="134" t="n"/>
      <c r="R147" s="134" t="n"/>
      <c r="T147" s="134" t="n"/>
      <c r="V147" s="134" t="n"/>
      <c r="X147" s="134" t="n"/>
    </row>
    <row r="148">
      <c r="L148" s="134" t="n"/>
      <c r="N148" s="134" t="n"/>
      <c r="P148" s="134" t="n"/>
      <c r="R148" s="134" t="n"/>
      <c r="T148" s="134" t="n"/>
      <c r="V148" s="134" t="n"/>
      <c r="X148" s="134" t="n"/>
    </row>
    <row r="149">
      <c r="L149" s="134" t="n"/>
      <c r="N149" s="134" t="n"/>
      <c r="P149" s="134" t="n"/>
      <c r="R149" s="134" t="n"/>
      <c r="T149" s="134" t="n"/>
      <c r="V149" s="134" t="n"/>
      <c r="X149" s="134" t="n"/>
    </row>
    <row r="150">
      <c r="L150" s="134" t="n"/>
      <c r="N150" s="134" t="n"/>
      <c r="P150" s="134" t="n"/>
      <c r="R150" s="134" t="n"/>
      <c r="T150" s="134" t="n"/>
      <c r="V150" s="134" t="n"/>
      <c r="X150" s="134" t="n"/>
    </row>
    <row r="151">
      <c r="L151" s="134" t="n"/>
      <c r="N151" s="134" t="n"/>
      <c r="P151" s="134" t="n"/>
      <c r="R151" s="134" t="n"/>
      <c r="T151" s="134" t="n"/>
      <c r="V151" s="134" t="n"/>
      <c r="X151" s="134" t="n"/>
    </row>
    <row r="152">
      <c r="L152" s="134" t="n"/>
      <c r="N152" s="134" t="n"/>
      <c r="P152" s="134" t="n"/>
      <c r="R152" s="134" t="n"/>
      <c r="T152" s="134" t="n"/>
      <c r="V152" s="134" t="n"/>
      <c r="X152" s="134" t="n"/>
    </row>
    <row r="153">
      <c r="L153" s="134" t="n"/>
      <c r="N153" s="134" t="n"/>
      <c r="P153" s="134" t="n"/>
      <c r="R153" s="134" t="n"/>
      <c r="T153" s="134" t="n"/>
      <c r="V153" s="134" t="n"/>
      <c r="X153" s="134" t="n"/>
    </row>
    <row r="154">
      <c r="L154" s="134" t="n"/>
      <c r="N154" s="134" t="n"/>
      <c r="P154" s="134" t="n"/>
      <c r="R154" s="134" t="n"/>
      <c r="T154" s="134" t="n"/>
      <c r="V154" s="134" t="n"/>
      <c r="X154" s="134" t="n"/>
    </row>
    <row r="155">
      <c r="L155" s="134" t="n"/>
      <c r="N155" s="134" t="n"/>
      <c r="P155" s="134" t="n"/>
      <c r="R155" s="134" t="n"/>
      <c r="T155" s="134" t="n"/>
      <c r="V155" s="134" t="n"/>
      <c r="X155" s="134" t="n"/>
    </row>
    <row r="156">
      <c r="L156" s="134" t="n"/>
      <c r="N156" s="134" t="n"/>
      <c r="P156" s="134" t="n"/>
      <c r="R156" s="134" t="n"/>
      <c r="T156" s="134" t="n"/>
      <c r="V156" s="134" t="n"/>
      <c r="X156" s="134" t="n"/>
    </row>
    <row r="157">
      <c r="L157" s="134" t="n"/>
      <c r="N157" s="134" t="n"/>
      <c r="P157" s="134" t="n"/>
      <c r="R157" s="134" t="n"/>
      <c r="T157" s="134" t="n"/>
      <c r="V157" s="134" t="n"/>
      <c r="X157" s="134" t="n"/>
    </row>
    <row r="158">
      <c r="L158" s="134" t="n"/>
      <c r="N158" s="134" t="n"/>
      <c r="P158" s="134" t="n"/>
      <c r="R158" s="134" t="n"/>
      <c r="T158" s="134" t="n"/>
      <c r="V158" s="134" t="n"/>
      <c r="X158" s="134" t="n"/>
    </row>
    <row r="159">
      <c r="L159" s="134" t="n"/>
      <c r="N159" s="134" t="n"/>
      <c r="P159" s="134" t="n"/>
      <c r="R159" s="134" t="n"/>
      <c r="T159" s="134" t="n"/>
      <c r="V159" s="134" t="n"/>
      <c r="X159" s="134" t="n"/>
    </row>
    <row r="160">
      <c r="L160" s="134" t="n"/>
      <c r="N160" s="134" t="n"/>
      <c r="P160" s="134" t="n"/>
      <c r="R160" s="134" t="n"/>
      <c r="T160" s="134" t="n"/>
      <c r="V160" s="134" t="n"/>
      <c r="X160" s="134" t="n"/>
    </row>
    <row r="161">
      <c r="L161" s="134" t="n"/>
      <c r="N161" s="134" t="n"/>
      <c r="P161" s="134" t="n"/>
      <c r="R161" s="134" t="n"/>
      <c r="T161" s="134" t="n"/>
      <c r="V161" s="134" t="n"/>
      <c r="X161" s="134" t="n"/>
    </row>
    <row r="162">
      <c r="L162" s="134" t="n"/>
      <c r="N162" s="134" t="n"/>
      <c r="P162" s="134" t="n"/>
      <c r="R162" s="134" t="n"/>
      <c r="T162" s="134" t="n"/>
      <c r="V162" s="134" t="n"/>
      <c r="X162" s="134" t="n"/>
    </row>
    <row r="163">
      <c r="L163" s="134" t="n"/>
      <c r="N163" s="134" t="n"/>
      <c r="P163" s="134" t="n"/>
      <c r="R163" s="134" t="n"/>
      <c r="T163" s="134" t="n"/>
      <c r="V163" s="134" t="n"/>
      <c r="X163" s="134" t="n"/>
    </row>
    <row r="164">
      <c r="L164" s="134" t="n"/>
      <c r="N164" s="134" t="n"/>
      <c r="P164" s="134" t="n"/>
      <c r="R164" s="134" t="n"/>
      <c r="T164" s="134" t="n"/>
      <c r="V164" s="134" t="n"/>
      <c r="X164" s="134" t="n"/>
    </row>
    <row r="165">
      <c r="L165" s="134" t="n"/>
      <c r="N165" s="134" t="n"/>
      <c r="P165" s="134" t="n"/>
      <c r="R165" s="134" t="n"/>
      <c r="T165" s="134" t="n"/>
      <c r="V165" s="134" t="n"/>
      <c r="X165" s="134" t="n"/>
    </row>
    <row r="166">
      <c r="L166" s="134" t="n"/>
      <c r="N166" s="134" t="n"/>
      <c r="P166" s="134" t="n"/>
      <c r="R166" s="134" t="n"/>
      <c r="T166" s="134" t="n"/>
      <c r="V166" s="134" t="n"/>
      <c r="X166" s="134" t="n"/>
    </row>
    <row r="167">
      <c r="L167" s="134" t="n"/>
      <c r="N167" s="134" t="n"/>
      <c r="P167" s="134" t="n"/>
      <c r="R167" s="134" t="n"/>
      <c r="T167" s="134" t="n"/>
      <c r="V167" s="134" t="n"/>
      <c r="X167" s="134" t="n"/>
    </row>
    <row r="168">
      <c r="L168" s="134" t="n"/>
      <c r="N168" s="134" t="n"/>
      <c r="P168" s="134" t="n"/>
      <c r="R168" s="134" t="n"/>
      <c r="T168" s="134" t="n"/>
      <c r="V168" s="134" t="n"/>
      <c r="X168" s="134" t="n"/>
    </row>
    <row r="169">
      <c r="L169" s="134" t="n"/>
      <c r="N169" s="134" t="n"/>
      <c r="P169" s="134" t="n"/>
      <c r="R169" s="134" t="n"/>
      <c r="T169" s="134" t="n"/>
      <c r="V169" s="134" t="n"/>
      <c r="X169" s="134" t="n"/>
    </row>
    <row r="170">
      <c r="L170" s="134" t="n"/>
      <c r="N170" s="134" t="n"/>
      <c r="P170" s="134" t="n"/>
      <c r="R170" s="134" t="n"/>
      <c r="T170" s="134" t="n"/>
      <c r="V170" s="134" t="n"/>
      <c r="X170" s="134" t="n"/>
    </row>
    <row r="171">
      <c r="L171" s="134" t="n"/>
      <c r="N171" s="134" t="n"/>
      <c r="P171" s="134" t="n"/>
      <c r="R171" s="134" t="n"/>
      <c r="T171" s="134" t="n"/>
      <c r="V171" s="134" t="n"/>
      <c r="X171" s="134" t="n"/>
    </row>
    <row r="172">
      <c r="L172" s="134" t="n"/>
      <c r="N172" s="134" t="n"/>
      <c r="P172" s="134" t="n"/>
      <c r="R172" s="134" t="n"/>
      <c r="T172" s="134" t="n"/>
      <c r="V172" s="134" t="n"/>
      <c r="X172" s="134" t="n"/>
    </row>
    <row r="173">
      <c r="L173" s="134" t="n"/>
      <c r="N173" s="134" t="n"/>
      <c r="P173" s="134" t="n"/>
      <c r="R173" s="134" t="n"/>
      <c r="T173" s="134" t="n"/>
      <c r="V173" s="134" t="n"/>
      <c r="X173" s="134" t="n"/>
    </row>
    <row r="174">
      <c r="L174" s="134" t="n"/>
      <c r="N174" s="134" t="n"/>
      <c r="P174" s="134" t="n"/>
      <c r="R174" s="134" t="n"/>
      <c r="T174" s="134" t="n"/>
      <c r="V174" s="134" t="n"/>
      <c r="X174" s="134" t="n"/>
    </row>
    <row r="175">
      <c r="L175" s="134" t="n"/>
      <c r="N175" s="134" t="n"/>
      <c r="P175" s="134" t="n"/>
      <c r="R175" s="134" t="n"/>
      <c r="T175" s="134" t="n"/>
      <c r="V175" s="134" t="n"/>
      <c r="X175" s="134" t="n"/>
    </row>
    <row r="176">
      <c r="L176" s="134" t="n"/>
      <c r="N176" s="134" t="n"/>
      <c r="P176" s="134" t="n"/>
      <c r="R176" s="134" t="n"/>
      <c r="T176" s="134" t="n"/>
      <c r="V176" s="134" t="n"/>
      <c r="X176" s="134" t="n"/>
    </row>
    <row r="177">
      <c r="L177" s="134" t="n"/>
      <c r="N177" s="134" t="n"/>
      <c r="P177" s="134" t="n"/>
      <c r="R177" s="134" t="n"/>
      <c r="T177" s="134" t="n"/>
      <c r="V177" s="134" t="n"/>
      <c r="X177" s="134" t="n"/>
    </row>
    <row r="178">
      <c r="L178" s="134" t="n"/>
      <c r="N178" s="134" t="n"/>
      <c r="P178" s="134" t="n"/>
      <c r="R178" s="134" t="n"/>
      <c r="T178" s="134" t="n"/>
      <c r="V178" s="134" t="n"/>
      <c r="X178" s="134" t="n"/>
    </row>
    <row r="179">
      <c r="L179" s="134" t="n"/>
      <c r="N179" s="134" t="n"/>
      <c r="P179" s="134" t="n"/>
      <c r="R179" s="134" t="n"/>
      <c r="T179" s="134" t="n"/>
      <c r="V179" s="134" t="n"/>
      <c r="X179" s="134" t="n"/>
    </row>
    <row r="180">
      <c r="L180" s="134" t="n"/>
      <c r="N180" s="134" t="n"/>
      <c r="P180" s="134" t="n"/>
      <c r="R180" s="134" t="n"/>
      <c r="T180" s="134" t="n"/>
      <c r="V180" s="134" t="n"/>
      <c r="X180" s="134" t="n"/>
    </row>
    <row r="181">
      <c r="L181" s="134" t="n"/>
      <c r="N181" s="134" t="n"/>
      <c r="P181" s="134" t="n"/>
      <c r="R181" s="134" t="n"/>
      <c r="T181" s="134" t="n"/>
      <c r="V181" s="134" t="n"/>
      <c r="X181" s="134" t="n"/>
    </row>
    <row r="182">
      <c r="L182" s="134" t="n"/>
      <c r="N182" s="134" t="n"/>
      <c r="P182" s="134" t="n"/>
      <c r="R182" s="134" t="n"/>
      <c r="T182" s="134" t="n"/>
      <c r="V182" s="134" t="n"/>
      <c r="X182" s="134" t="n"/>
    </row>
    <row r="183">
      <c r="L183" s="134" t="n"/>
      <c r="N183" s="134" t="n"/>
      <c r="P183" s="134" t="n"/>
      <c r="R183" s="134" t="n"/>
      <c r="T183" s="134" t="n"/>
      <c r="V183" s="134" t="n"/>
      <c r="X183" s="134" t="n"/>
    </row>
    <row r="184">
      <c r="L184" s="134" t="n"/>
      <c r="N184" s="134" t="n"/>
      <c r="P184" s="134" t="n"/>
      <c r="R184" s="134" t="n"/>
      <c r="T184" s="134" t="n"/>
      <c r="V184" s="134" t="n"/>
      <c r="X184" s="134" t="n"/>
    </row>
    <row r="185">
      <c r="L185" s="134" t="n"/>
      <c r="N185" s="134" t="n"/>
      <c r="P185" s="134" t="n"/>
      <c r="R185" s="134" t="n"/>
      <c r="T185" s="134" t="n"/>
      <c r="V185" s="134" t="n"/>
      <c r="X185" s="134" t="n"/>
    </row>
    <row r="186">
      <c r="L186" s="134" t="n"/>
      <c r="N186" s="134" t="n"/>
      <c r="P186" s="134" t="n"/>
      <c r="R186" s="134" t="n"/>
      <c r="T186" s="134" t="n"/>
      <c r="V186" s="134" t="n"/>
      <c r="X186" s="134" t="n"/>
    </row>
    <row r="187">
      <c r="L187" s="134" t="n"/>
      <c r="N187" s="134" t="n"/>
      <c r="P187" s="134" t="n"/>
      <c r="R187" s="134" t="n"/>
      <c r="T187" s="134" t="n"/>
      <c r="V187" s="134" t="n"/>
      <c r="X187" s="134" t="n"/>
    </row>
    <row r="188">
      <c r="L188" s="134" t="n"/>
      <c r="N188" s="134" t="n"/>
      <c r="P188" s="134" t="n"/>
      <c r="R188" s="134" t="n"/>
      <c r="T188" s="134" t="n"/>
      <c r="V188" s="134" t="n"/>
      <c r="X188" s="134" t="n"/>
    </row>
    <row r="189">
      <c r="L189" s="134" t="n"/>
      <c r="N189" s="134" t="n"/>
      <c r="P189" s="134" t="n"/>
      <c r="R189" s="134" t="n"/>
      <c r="T189" s="134" t="n"/>
      <c r="V189" s="134" t="n"/>
      <c r="X189" s="134" t="n"/>
    </row>
    <row r="190">
      <c r="L190" s="134" t="n"/>
      <c r="N190" s="134" t="n"/>
      <c r="P190" s="134" t="n"/>
      <c r="R190" s="134" t="n"/>
      <c r="T190" s="134" t="n"/>
      <c r="V190" s="134" t="n"/>
      <c r="X190" s="134" t="n"/>
    </row>
    <row r="191">
      <c r="L191" s="134" t="n"/>
      <c r="N191" s="134" t="n"/>
      <c r="P191" s="134" t="n"/>
      <c r="R191" s="134" t="n"/>
      <c r="T191" s="134" t="n"/>
      <c r="V191" s="134" t="n"/>
      <c r="X191" s="134" t="n"/>
    </row>
    <row r="192">
      <c r="L192" s="134" t="n"/>
      <c r="N192" s="134" t="n"/>
      <c r="P192" s="134" t="n"/>
      <c r="R192" s="134" t="n"/>
      <c r="T192" s="134" t="n"/>
      <c r="V192" s="134" t="n"/>
      <c r="X192" s="134" t="n"/>
    </row>
    <row r="193">
      <c r="L193" s="134" t="n"/>
      <c r="N193" s="134" t="n"/>
      <c r="P193" s="134" t="n"/>
      <c r="R193" s="134" t="n"/>
      <c r="T193" s="134" t="n"/>
      <c r="V193" s="134" t="n"/>
      <c r="X193" s="134" t="n"/>
    </row>
    <row r="194">
      <c r="L194" s="134" t="n"/>
      <c r="N194" s="134" t="n"/>
      <c r="P194" s="134" t="n"/>
      <c r="R194" s="134" t="n"/>
      <c r="T194" s="134" t="n"/>
      <c r="V194" s="134" t="n"/>
      <c r="X194" s="134" t="n"/>
    </row>
    <row r="195">
      <c r="L195" s="134" t="n"/>
      <c r="N195" s="134" t="n"/>
      <c r="P195" s="134" t="n"/>
      <c r="R195" s="134" t="n"/>
      <c r="T195" s="134" t="n"/>
      <c r="V195" s="134" t="n"/>
      <c r="X195" s="134" t="n"/>
    </row>
    <row r="196">
      <c r="L196" s="134" t="n"/>
      <c r="N196" s="134" t="n"/>
      <c r="P196" s="134" t="n"/>
      <c r="R196" s="134" t="n"/>
      <c r="T196" s="134" t="n"/>
      <c r="V196" s="134" t="n"/>
      <c r="X196" s="134" t="n"/>
    </row>
    <row r="197">
      <c r="L197" s="134" t="n"/>
      <c r="N197" s="134" t="n"/>
      <c r="P197" s="134" t="n"/>
      <c r="R197" s="134" t="n"/>
      <c r="T197" s="134" t="n"/>
      <c r="V197" s="134" t="n"/>
      <c r="X197" s="134" t="n"/>
    </row>
    <row r="198">
      <c r="L198" s="134" t="n"/>
      <c r="N198" s="134" t="n"/>
      <c r="P198" s="134" t="n"/>
      <c r="R198" s="134" t="n"/>
      <c r="T198" s="134" t="n"/>
      <c r="V198" s="134" t="n"/>
      <c r="X198" s="134" t="n"/>
    </row>
    <row r="199">
      <c r="L199" s="134" t="n"/>
      <c r="N199" s="134" t="n"/>
      <c r="P199" s="134" t="n"/>
      <c r="R199" s="134" t="n"/>
      <c r="T199" s="134" t="n"/>
      <c r="V199" s="134" t="n"/>
      <c r="X199" s="134" t="n"/>
    </row>
    <row r="200">
      <c r="L200" s="134" t="n"/>
      <c r="N200" s="134" t="n"/>
      <c r="P200" s="134" t="n"/>
      <c r="R200" s="134" t="n"/>
      <c r="T200" s="134" t="n"/>
      <c r="V200" s="134" t="n"/>
      <c r="X200" s="134" t="n"/>
    </row>
    <row r="201">
      <c r="L201" s="134" t="n"/>
      <c r="N201" s="134" t="n"/>
      <c r="P201" s="134" t="n"/>
      <c r="R201" s="134" t="n"/>
      <c r="T201" s="134" t="n"/>
      <c r="V201" s="134" t="n"/>
      <c r="X201" s="134" t="n"/>
    </row>
    <row r="202">
      <c r="L202" s="134" t="n"/>
      <c r="N202" s="134" t="n"/>
      <c r="P202" s="134" t="n"/>
      <c r="R202" s="134" t="n"/>
      <c r="T202" s="134" t="n"/>
      <c r="V202" s="134" t="n"/>
      <c r="X202" s="134" t="n"/>
    </row>
    <row r="203">
      <c r="L203" s="134" t="n"/>
      <c r="N203" s="134" t="n"/>
      <c r="P203" s="134" t="n"/>
      <c r="R203" s="134" t="n"/>
      <c r="T203" s="134" t="n"/>
      <c r="V203" s="134" t="n"/>
      <c r="X203" s="134" t="n"/>
    </row>
    <row r="204">
      <c r="L204" s="134" t="n"/>
      <c r="N204" s="134" t="n"/>
      <c r="P204" s="134" t="n"/>
      <c r="R204" s="134" t="n"/>
      <c r="T204" s="134" t="n"/>
      <c r="V204" s="134" t="n"/>
      <c r="X204" s="134" t="n"/>
    </row>
    <row r="205">
      <c r="L205" s="134" t="n"/>
      <c r="N205" s="134" t="n"/>
      <c r="P205" s="134" t="n"/>
      <c r="R205" s="134" t="n"/>
      <c r="T205" s="134" t="n"/>
      <c r="V205" s="134" t="n"/>
      <c r="X205" s="134" t="n"/>
    </row>
    <row r="206">
      <c r="L206" s="134" t="n"/>
      <c r="N206" s="134" t="n"/>
      <c r="P206" s="134" t="n"/>
      <c r="R206" s="134" t="n"/>
      <c r="T206" s="134" t="n"/>
      <c r="V206" s="134" t="n"/>
      <c r="X206" s="134" t="n"/>
    </row>
    <row r="207">
      <c r="L207" s="134" t="n"/>
      <c r="N207" s="134" t="n"/>
      <c r="P207" s="134" t="n"/>
      <c r="R207" s="134" t="n"/>
      <c r="T207" s="134" t="n"/>
      <c r="V207" s="134" t="n"/>
      <c r="X207" s="134" t="n"/>
    </row>
    <row r="208">
      <c r="L208" s="134" t="n"/>
      <c r="N208" s="134" t="n"/>
      <c r="P208" s="134" t="n"/>
      <c r="R208" s="134" t="n"/>
      <c r="T208" s="134" t="n"/>
      <c r="V208" s="134" t="n"/>
      <c r="X208" s="134" t="n"/>
    </row>
    <row r="209">
      <c r="L209" s="134" t="n"/>
      <c r="N209" s="134" t="n"/>
      <c r="P209" s="134" t="n"/>
      <c r="R209" s="134" t="n"/>
      <c r="T209" s="134" t="n"/>
      <c r="V209" s="134" t="n"/>
      <c r="X209" s="134" t="n"/>
    </row>
    <row r="210">
      <c r="L210" s="134" t="n"/>
      <c r="N210" s="134" t="n"/>
      <c r="P210" s="134" t="n"/>
      <c r="R210" s="134" t="n"/>
      <c r="T210" s="134" t="n"/>
      <c r="V210" s="134" t="n"/>
      <c r="X210" s="134" t="n"/>
    </row>
    <row r="211">
      <c r="L211" s="134" t="n"/>
      <c r="N211" s="134" t="n"/>
      <c r="P211" s="134" t="n"/>
      <c r="R211" s="134" t="n"/>
      <c r="T211" s="134" t="n"/>
      <c r="V211" s="134" t="n"/>
      <c r="X211" s="134" t="n"/>
    </row>
    <row r="212">
      <c r="L212" s="134" t="n"/>
      <c r="N212" s="134" t="n"/>
      <c r="P212" s="134" t="n"/>
      <c r="R212" s="134" t="n"/>
      <c r="T212" s="134" t="n"/>
      <c r="V212" s="134" t="n"/>
      <c r="X212" s="134" t="n"/>
    </row>
    <row r="213">
      <c r="L213" s="134" t="n"/>
      <c r="N213" s="134" t="n"/>
      <c r="P213" s="134" t="n"/>
      <c r="R213" s="134" t="n"/>
      <c r="T213" s="134" t="n"/>
      <c r="V213" s="134" t="n"/>
      <c r="X213" s="134" t="n"/>
    </row>
    <row r="214">
      <c r="L214" s="134" t="n"/>
      <c r="N214" s="134" t="n"/>
      <c r="P214" s="134" t="n"/>
      <c r="R214" s="134" t="n"/>
      <c r="T214" s="134" t="n"/>
      <c r="V214" s="134" t="n"/>
      <c r="X214" s="134" t="n"/>
    </row>
    <row r="215">
      <c r="L215" s="134" t="n"/>
      <c r="N215" s="134" t="n"/>
      <c r="P215" s="134" t="n"/>
      <c r="R215" s="134" t="n"/>
      <c r="T215" s="134" t="n"/>
      <c r="V215" s="134" t="n"/>
      <c r="X215" s="134" t="n"/>
    </row>
    <row r="216">
      <c r="L216" s="134" t="n"/>
      <c r="N216" s="134" t="n"/>
      <c r="P216" s="134" t="n"/>
      <c r="R216" s="134" t="n"/>
      <c r="T216" s="134" t="n"/>
      <c r="V216" s="134" t="n"/>
      <c r="X216" s="134" t="n"/>
    </row>
    <row r="217">
      <c r="L217" s="134" t="n"/>
      <c r="N217" s="134" t="n"/>
      <c r="P217" s="134" t="n"/>
      <c r="R217" s="134" t="n"/>
      <c r="T217" s="134" t="n"/>
      <c r="V217" s="134" t="n"/>
      <c r="X217" s="134" t="n"/>
    </row>
    <row r="218">
      <c r="L218" s="134" t="n"/>
      <c r="N218" s="134" t="n"/>
      <c r="P218" s="134" t="n"/>
      <c r="R218" s="134" t="n"/>
      <c r="T218" s="134" t="n"/>
      <c r="V218" s="134" t="n"/>
      <c r="X218" s="134" t="n"/>
    </row>
    <row r="219">
      <c r="L219" s="134" t="n"/>
      <c r="N219" s="134" t="n"/>
      <c r="P219" s="134" t="n"/>
      <c r="R219" s="134" t="n"/>
      <c r="T219" s="134" t="n"/>
      <c r="V219" s="134" t="n"/>
      <c r="X219" s="134" t="n"/>
    </row>
    <row r="220">
      <c r="L220" s="134" t="n"/>
      <c r="N220" s="134" t="n"/>
      <c r="P220" s="134" t="n"/>
      <c r="R220" s="134" t="n"/>
      <c r="T220" s="134" t="n"/>
      <c r="V220" s="134" t="n"/>
      <c r="X220" s="134" t="n"/>
    </row>
    <row r="221">
      <c r="L221" s="134" t="n"/>
      <c r="N221" s="134" t="n"/>
      <c r="P221" s="134" t="n"/>
      <c r="R221" s="134" t="n"/>
      <c r="T221" s="134" t="n"/>
      <c r="V221" s="134" t="n"/>
      <c r="X221" s="134" t="n"/>
    </row>
    <row r="222">
      <c r="L222" s="134" t="n"/>
      <c r="N222" s="134" t="n"/>
      <c r="P222" s="134" t="n"/>
      <c r="R222" s="134" t="n"/>
      <c r="T222" s="134" t="n"/>
      <c r="V222" s="134" t="n"/>
      <c r="X222" s="134" t="n"/>
    </row>
    <row r="223">
      <c r="L223" s="134" t="n"/>
      <c r="N223" s="134" t="n"/>
      <c r="P223" s="134" t="n"/>
      <c r="R223" s="134" t="n"/>
      <c r="T223" s="134" t="n"/>
      <c r="V223" s="134" t="n"/>
      <c r="X223" s="134" t="n"/>
    </row>
    <row r="224">
      <c r="L224" s="134" t="n"/>
      <c r="N224" s="134" t="n"/>
      <c r="P224" s="134" t="n"/>
      <c r="R224" s="134" t="n"/>
      <c r="T224" s="134" t="n"/>
      <c r="V224" s="134" t="n"/>
      <c r="X224" s="134" t="n"/>
    </row>
    <row r="225">
      <c r="L225" s="134" t="n"/>
      <c r="N225" s="134" t="n"/>
      <c r="P225" s="134" t="n"/>
      <c r="R225" s="134" t="n"/>
      <c r="T225" s="134" t="n"/>
      <c r="V225" s="134" t="n"/>
      <c r="X225" s="134" t="n"/>
    </row>
    <row r="226">
      <c r="L226" s="134" t="n"/>
      <c r="N226" s="134" t="n"/>
      <c r="P226" s="134" t="n"/>
      <c r="R226" s="134" t="n"/>
      <c r="T226" s="134" t="n"/>
      <c r="V226" s="134" t="n"/>
      <c r="X226" s="134" t="n"/>
    </row>
    <row r="227">
      <c r="L227" s="134" t="n"/>
      <c r="N227" s="134" t="n"/>
      <c r="P227" s="134" t="n"/>
      <c r="R227" s="134" t="n"/>
      <c r="T227" s="134" t="n"/>
      <c r="V227" s="134" t="n"/>
      <c r="X227" s="134" t="n"/>
    </row>
    <row r="228">
      <c r="L228" s="134" t="n"/>
      <c r="N228" s="134" t="n"/>
      <c r="P228" s="134" t="n"/>
      <c r="R228" s="134" t="n"/>
      <c r="T228" s="134" t="n"/>
      <c r="V228" s="134" t="n"/>
      <c r="X228" s="134" t="n"/>
    </row>
    <row r="229">
      <c r="L229" s="134" t="n"/>
      <c r="N229" s="134" t="n"/>
      <c r="P229" s="134" t="n"/>
      <c r="R229" s="134" t="n"/>
      <c r="T229" s="134" t="n"/>
      <c r="V229" s="134" t="n"/>
      <c r="X229" s="134" t="n"/>
    </row>
    <row r="230">
      <c r="L230" s="134" t="n"/>
      <c r="N230" s="134" t="n"/>
      <c r="P230" s="134" t="n"/>
      <c r="R230" s="134" t="n"/>
      <c r="T230" s="134" t="n"/>
      <c r="V230" s="134" t="n"/>
      <c r="X230" s="134" t="n"/>
    </row>
    <row r="231">
      <c r="L231" s="134" t="n"/>
      <c r="N231" s="134" t="n"/>
      <c r="P231" s="134" t="n"/>
      <c r="R231" s="134" t="n"/>
      <c r="T231" s="134" t="n"/>
      <c r="V231" s="134" t="n"/>
      <c r="X231" s="134" t="n"/>
    </row>
    <row r="232">
      <c r="L232" s="134" t="n"/>
      <c r="N232" s="134" t="n"/>
      <c r="P232" s="134" t="n"/>
      <c r="R232" s="134" t="n"/>
      <c r="T232" s="134" t="n"/>
      <c r="V232" s="134" t="n"/>
      <c r="X232" s="134" t="n"/>
    </row>
    <row r="233">
      <c r="L233" s="134" t="n"/>
      <c r="N233" s="134" t="n"/>
      <c r="P233" s="134" t="n"/>
      <c r="R233" s="134" t="n"/>
      <c r="T233" s="134" t="n"/>
      <c r="V233" s="134" t="n"/>
      <c r="X233" s="134" t="n"/>
    </row>
    <row r="234">
      <c r="L234" s="134" t="n"/>
      <c r="N234" s="134" t="n"/>
      <c r="P234" s="134" t="n"/>
      <c r="R234" s="134" t="n"/>
      <c r="T234" s="134" t="n"/>
      <c r="V234" s="134" t="n"/>
      <c r="X234" s="134" t="n"/>
    </row>
    <row r="235">
      <c r="L235" s="134" t="n"/>
      <c r="N235" s="134" t="n"/>
      <c r="P235" s="134" t="n"/>
      <c r="R235" s="134" t="n"/>
      <c r="T235" s="134" t="n"/>
      <c r="V235" s="134" t="n"/>
      <c r="X235" s="134" t="n"/>
    </row>
    <row r="236">
      <c r="L236" s="134" t="n"/>
      <c r="N236" s="134" t="n"/>
      <c r="P236" s="134" t="n"/>
      <c r="R236" s="134" t="n"/>
      <c r="T236" s="134" t="n"/>
      <c r="V236" s="134" t="n"/>
      <c r="X236" s="134" t="n"/>
    </row>
    <row r="237">
      <c r="L237" s="134" t="n"/>
      <c r="N237" s="134" t="n"/>
      <c r="P237" s="134" t="n"/>
      <c r="R237" s="134" t="n"/>
      <c r="T237" s="134" t="n"/>
      <c r="V237" s="134" t="n"/>
      <c r="X237" s="134" t="n"/>
    </row>
    <row r="238">
      <c r="L238" s="134" t="n"/>
      <c r="N238" s="134" t="n"/>
      <c r="P238" s="134" t="n"/>
      <c r="R238" s="134" t="n"/>
      <c r="T238" s="134" t="n"/>
      <c r="V238" s="134" t="n"/>
      <c r="X238" s="134" t="n"/>
    </row>
    <row r="239">
      <c r="L239" s="134" t="n"/>
      <c r="N239" s="134" t="n"/>
      <c r="P239" s="134" t="n"/>
      <c r="R239" s="134" t="n"/>
      <c r="T239" s="134" t="n"/>
      <c r="V239" s="134" t="n"/>
      <c r="X239" s="134" t="n"/>
    </row>
    <row r="240">
      <c r="L240" s="134" t="n"/>
      <c r="N240" s="134" t="n"/>
      <c r="P240" s="134" t="n"/>
      <c r="R240" s="134" t="n"/>
      <c r="T240" s="134" t="n"/>
      <c r="V240" s="134" t="n"/>
      <c r="X240" s="134" t="n"/>
    </row>
    <row r="241">
      <c r="L241" s="134" t="n"/>
      <c r="N241" s="134" t="n"/>
      <c r="P241" s="134" t="n"/>
      <c r="R241" s="134" t="n"/>
      <c r="T241" s="134" t="n"/>
      <c r="V241" s="134" t="n"/>
      <c r="X241" s="134" t="n"/>
    </row>
    <row r="242">
      <c r="L242" s="134" t="n"/>
      <c r="N242" s="134" t="n"/>
      <c r="P242" s="134" t="n"/>
      <c r="R242" s="134" t="n"/>
      <c r="T242" s="134" t="n"/>
      <c r="V242" s="134" t="n"/>
      <c r="X242" s="134" t="n"/>
    </row>
    <row r="243">
      <c r="L243" s="134" t="n"/>
      <c r="N243" s="134" t="n"/>
      <c r="P243" s="134" t="n"/>
      <c r="R243" s="134" t="n"/>
      <c r="T243" s="134" t="n"/>
      <c r="V243" s="134" t="n"/>
      <c r="X243" s="134" t="n"/>
    </row>
    <row r="244">
      <c r="L244" s="134" t="n"/>
      <c r="N244" s="134" t="n"/>
      <c r="P244" s="134" t="n"/>
      <c r="R244" s="134" t="n"/>
      <c r="T244" s="134" t="n"/>
      <c r="V244" s="134" t="n"/>
      <c r="X244" s="134" t="n"/>
    </row>
    <row r="245">
      <c r="L245" s="134" t="n"/>
      <c r="N245" s="134" t="n"/>
      <c r="P245" s="134" t="n"/>
      <c r="R245" s="134" t="n"/>
      <c r="T245" s="134" t="n"/>
      <c r="V245" s="134" t="n"/>
      <c r="X245" s="134" t="n"/>
    </row>
    <row r="246">
      <c r="L246" s="134" t="n"/>
      <c r="N246" s="134" t="n"/>
      <c r="P246" s="134" t="n"/>
      <c r="R246" s="134" t="n"/>
      <c r="T246" s="134" t="n"/>
      <c r="V246" s="134" t="n"/>
      <c r="X246" s="134" t="n"/>
    </row>
    <row r="247">
      <c r="L247" s="134" t="n"/>
      <c r="N247" s="134" t="n"/>
      <c r="P247" s="134" t="n"/>
      <c r="R247" s="134" t="n"/>
      <c r="T247" s="134" t="n"/>
      <c r="V247" s="134" t="n"/>
      <c r="X247" s="134" t="n"/>
    </row>
    <row r="248">
      <c r="L248" s="134" t="n"/>
      <c r="N248" s="134" t="n"/>
      <c r="P248" s="134" t="n"/>
      <c r="R248" s="134" t="n"/>
      <c r="T248" s="134" t="n"/>
      <c r="V248" s="134" t="n"/>
      <c r="X248" s="134" t="n"/>
    </row>
    <row r="249">
      <c r="L249" s="134" t="n"/>
      <c r="N249" s="134" t="n"/>
      <c r="P249" s="134" t="n"/>
      <c r="R249" s="134" t="n"/>
      <c r="T249" s="134" t="n"/>
      <c r="V249" s="134" t="n"/>
      <c r="X249" s="134" t="n"/>
    </row>
    <row r="250">
      <c r="L250" s="134" t="n"/>
      <c r="N250" s="134" t="n"/>
      <c r="P250" s="134" t="n"/>
      <c r="R250" s="134" t="n"/>
      <c r="T250" s="134" t="n"/>
      <c r="V250" s="134" t="n"/>
      <c r="X250" s="134" t="n"/>
    </row>
    <row r="251">
      <c r="L251" s="134" t="n"/>
      <c r="N251" s="134" t="n"/>
      <c r="P251" s="134" t="n"/>
      <c r="R251" s="134" t="n"/>
      <c r="T251" s="134" t="n"/>
      <c r="V251" s="134" t="n"/>
      <c r="X251" s="134" t="n"/>
    </row>
    <row r="252">
      <c r="L252" s="134" t="n"/>
      <c r="N252" s="134" t="n"/>
      <c r="P252" s="134" t="n"/>
      <c r="R252" s="134" t="n"/>
      <c r="T252" s="134" t="n"/>
      <c r="V252" s="134" t="n"/>
      <c r="X252" s="134" t="n"/>
    </row>
    <row r="253">
      <c r="L253" s="134" t="n"/>
      <c r="N253" s="134" t="n"/>
      <c r="P253" s="134" t="n"/>
      <c r="R253" s="134" t="n"/>
      <c r="T253" s="134" t="n"/>
      <c r="V253" s="134" t="n"/>
      <c r="X253" s="134" t="n"/>
    </row>
    <row r="254">
      <c r="L254" s="134" t="n"/>
      <c r="N254" s="134" t="n"/>
      <c r="P254" s="134" t="n"/>
      <c r="R254" s="134" t="n"/>
      <c r="T254" s="134" t="n"/>
      <c r="V254" s="134" t="n"/>
      <c r="X254" s="134" t="n"/>
    </row>
    <row r="255">
      <c r="L255" s="134" t="n"/>
      <c r="N255" s="134" t="n"/>
      <c r="P255" s="134" t="n"/>
      <c r="R255" s="134" t="n"/>
      <c r="T255" s="134" t="n"/>
      <c r="V255" s="134" t="n"/>
      <c r="X255" s="134" t="n"/>
    </row>
    <row r="256">
      <c r="L256" s="134" t="n"/>
      <c r="N256" s="134" t="n"/>
      <c r="P256" s="134" t="n"/>
      <c r="R256" s="134" t="n"/>
      <c r="T256" s="134" t="n"/>
      <c r="V256" s="134" t="n"/>
      <c r="X256" s="134" t="n"/>
    </row>
    <row r="257">
      <c r="L257" s="134" t="n"/>
      <c r="N257" s="134" t="n"/>
      <c r="P257" s="134" t="n"/>
      <c r="R257" s="134" t="n"/>
      <c r="T257" s="134" t="n"/>
      <c r="V257" s="134" t="n"/>
      <c r="X257" s="134" t="n"/>
    </row>
    <row r="258">
      <c r="L258" s="134" t="n"/>
      <c r="N258" s="134" t="n"/>
      <c r="P258" s="134" t="n"/>
      <c r="R258" s="134" t="n"/>
      <c r="T258" s="134" t="n"/>
      <c r="V258" s="134" t="n"/>
      <c r="X258" s="134" t="n"/>
    </row>
    <row r="259">
      <c r="L259" s="134" t="n"/>
      <c r="N259" s="134" t="n"/>
      <c r="P259" s="134" t="n"/>
      <c r="R259" s="134" t="n"/>
      <c r="T259" s="134" t="n"/>
      <c r="V259" s="134" t="n"/>
      <c r="X259" s="134" t="n"/>
    </row>
    <row r="260">
      <c r="L260" s="134" t="n"/>
      <c r="N260" s="134" t="n"/>
      <c r="P260" s="134" t="n"/>
      <c r="R260" s="134" t="n"/>
      <c r="T260" s="134" t="n"/>
      <c r="V260" s="134" t="n"/>
      <c r="X260" s="134" t="n"/>
    </row>
    <row r="261">
      <c r="L261" s="134" t="n"/>
      <c r="N261" s="134" t="n"/>
      <c r="P261" s="134" t="n"/>
      <c r="R261" s="134" t="n"/>
      <c r="T261" s="134" t="n"/>
      <c r="V261" s="134" t="n"/>
      <c r="X261" s="134" t="n"/>
    </row>
    <row r="262">
      <c r="L262" s="134" t="n"/>
      <c r="N262" s="134" t="n"/>
      <c r="P262" s="134" t="n"/>
      <c r="R262" s="134" t="n"/>
      <c r="T262" s="134" t="n"/>
      <c r="V262" s="134" t="n"/>
      <c r="X262" s="134" t="n"/>
    </row>
    <row r="263">
      <c r="L263" s="134" t="n"/>
      <c r="N263" s="134" t="n"/>
      <c r="P263" s="134" t="n"/>
      <c r="R263" s="134" t="n"/>
      <c r="T263" s="134" t="n"/>
      <c r="V263" s="134" t="n"/>
      <c r="X263" s="134" t="n"/>
    </row>
    <row r="264">
      <c r="L264" s="134" t="n"/>
      <c r="N264" s="134" t="n"/>
      <c r="P264" s="134" t="n"/>
      <c r="R264" s="134" t="n"/>
      <c r="T264" s="134" t="n"/>
      <c r="V264" s="134" t="n"/>
      <c r="X264" s="134" t="n"/>
    </row>
    <row r="265">
      <c r="L265" s="134" t="n"/>
      <c r="N265" s="134" t="n"/>
      <c r="P265" s="134" t="n"/>
      <c r="R265" s="134" t="n"/>
      <c r="T265" s="134" t="n"/>
      <c r="V265" s="134" t="n"/>
      <c r="X265" s="134" t="n"/>
    </row>
    <row r="266">
      <c r="L266" s="134" t="n"/>
      <c r="N266" s="134" t="n"/>
      <c r="P266" s="134" t="n"/>
      <c r="R266" s="134" t="n"/>
      <c r="T266" s="134" t="n"/>
      <c r="V266" s="134" t="n"/>
      <c r="X266" s="134" t="n"/>
    </row>
    <row r="267">
      <c r="L267" s="134" t="n"/>
      <c r="N267" s="134" t="n"/>
      <c r="P267" s="134" t="n"/>
      <c r="R267" s="134" t="n"/>
      <c r="T267" s="134" t="n"/>
      <c r="V267" s="134" t="n"/>
      <c r="X267" s="134" t="n"/>
    </row>
    <row r="268">
      <c r="L268" s="134" t="n"/>
      <c r="N268" s="134" t="n"/>
      <c r="P268" s="134" t="n"/>
      <c r="R268" s="134" t="n"/>
      <c r="T268" s="134" t="n"/>
      <c r="V268" s="134" t="n"/>
      <c r="X268" s="134" t="n"/>
    </row>
    <row r="269">
      <c r="L269" s="134" t="n"/>
      <c r="N269" s="134" t="n"/>
      <c r="P269" s="134" t="n"/>
      <c r="R269" s="134" t="n"/>
      <c r="T269" s="134" t="n"/>
      <c r="V269" s="134" t="n"/>
      <c r="X269" s="134" t="n"/>
    </row>
    <row r="270">
      <c r="L270" s="134" t="n"/>
      <c r="N270" s="134" t="n"/>
      <c r="P270" s="134" t="n"/>
      <c r="R270" s="134" t="n"/>
      <c r="T270" s="134" t="n"/>
      <c r="V270" s="134" t="n"/>
      <c r="X270" s="134" t="n"/>
    </row>
    <row r="271">
      <c r="L271" s="134" t="n"/>
      <c r="N271" s="134" t="n"/>
      <c r="P271" s="134" t="n"/>
      <c r="R271" s="134" t="n"/>
      <c r="T271" s="134" t="n"/>
      <c r="V271" s="134" t="n"/>
      <c r="X271" s="134" t="n"/>
    </row>
    <row r="272">
      <c r="L272" s="134" t="n"/>
      <c r="N272" s="134" t="n"/>
      <c r="P272" s="134" t="n"/>
      <c r="R272" s="134" t="n"/>
      <c r="T272" s="134" t="n"/>
      <c r="V272" s="134" t="n"/>
      <c r="X272" s="134" t="n"/>
    </row>
    <row r="273">
      <c r="L273" s="134" t="n"/>
      <c r="N273" s="134" t="n"/>
      <c r="P273" s="134" t="n"/>
      <c r="R273" s="134" t="n"/>
      <c r="T273" s="134" t="n"/>
      <c r="V273" s="134" t="n"/>
      <c r="X273" s="134" t="n"/>
    </row>
    <row r="274">
      <c r="L274" s="134" t="n"/>
      <c r="N274" s="134" t="n"/>
      <c r="P274" s="134" t="n"/>
      <c r="R274" s="134" t="n"/>
      <c r="T274" s="134" t="n"/>
      <c r="V274" s="134" t="n"/>
      <c r="X274" s="134" t="n"/>
    </row>
    <row r="275">
      <c r="L275" s="134" t="n"/>
      <c r="N275" s="134" t="n"/>
      <c r="P275" s="134" t="n"/>
      <c r="R275" s="134" t="n"/>
      <c r="T275" s="134" t="n"/>
      <c r="V275" s="134" t="n"/>
      <c r="X275" s="134" t="n"/>
    </row>
    <row r="276">
      <c r="L276" s="134" t="n"/>
      <c r="N276" s="134" t="n"/>
      <c r="P276" s="134" t="n"/>
      <c r="R276" s="134" t="n"/>
      <c r="T276" s="134" t="n"/>
      <c r="V276" s="134" t="n"/>
      <c r="X276" s="134" t="n"/>
    </row>
    <row r="277">
      <c r="L277" s="134" t="n"/>
      <c r="N277" s="134" t="n"/>
      <c r="P277" s="134" t="n"/>
      <c r="R277" s="134" t="n"/>
      <c r="T277" s="134" t="n"/>
      <c r="V277" s="134" t="n"/>
      <c r="X277" s="134" t="n"/>
    </row>
    <row r="278">
      <c r="L278" s="134" t="n"/>
      <c r="N278" s="134" t="n"/>
      <c r="P278" s="134" t="n"/>
      <c r="R278" s="134" t="n"/>
      <c r="T278" s="134" t="n"/>
      <c r="V278" s="134" t="n"/>
      <c r="X278" s="134" t="n"/>
    </row>
    <row r="279">
      <c r="L279" s="134" t="n"/>
      <c r="N279" s="134" t="n"/>
      <c r="P279" s="134" t="n"/>
      <c r="R279" s="134" t="n"/>
      <c r="T279" s="134" t="n"/>
      <c r="V279" s="134" t="n"/>
      <c r="X279" s="134" t="n"/>
    </row>
    <row r="280">
      <c r="L280" s="134" t="n"/>
      <c r="N280" s="134" t="n"/>
      <c r="P280" s="134" t="n"/>
      <c r="R280" s="134" t="n"/>
      <c r="T280" s="134" t="n"/>
      <c r="V280" s="134" t="n"/>
      <c r="X280" s="134" t="n"/>
    </row>
    <row r="281">
      <c r="L281" s="134" t="n"/>
      <c r="N281" s="134" t="n"/>
      <c r="P281" s="134" t="n"/>
      <c r="R281" s="134" t="n"/>
      <c r="T281" s="134" t="n"/>
      <c r="V281" s="134" t="n"/>
      <c r="X281" s="134" t="n"/>
    </row>
    <row r="282">
      <c r="L282" s="134" t="n"/>
      <c r="N282" s="134" t="n"/>
      <c r="P282" s="134" t="n"/>
      <c r="R282" s="134" t="n"/>
      <c r="T282" s="134" t="n"/>
      <c r="V282" s="134" t="n"/>
      <c r="X282" s="134" t="n"/>
    </row>
    <row r="283">
      <c r="L283" s="134" t="n"/>
      <c r="N283" s="134" t="n"/>
      <c r="P283" s="134" t="n"/>
      <c r="R283" s="134" t="n"/>
      <c r="T283" s="134" t="n"/>
      <c r="V283" s="134" t="n"/>
      <c r="X283" s="134" t="n"/>
    </row>
    <row r="284">
      <c r="L284" s="134" t="n"/>
      <c r="N284" s="134" t="n"/>
      <c r="P284" s="134" t="n"/>
      <c r="R284" s="134" t="n"/>
      <c r="T284" s="134" t="n"/>
      <c r="V284" s="134" t="n"/>
      <c r="X284" s="134" t="n"/>
    </row>
    <row r="285">
      <c r="L285" s="134" t="n"/>
      <c r="N285" s="134" t="n"/>
      <c r="P285" s="134" t="n"/>
      <c r="R285" s="134" t="n"/>
      <c r="T285" s="134" t="n"/>
      <c r="V285" s="134" t="n"/>
      <c r="X285" s="134" t="n"/>
    </row>
    <row r="286">
      <c r="L286" s="134" t="n"/>
      <c r="N286" s="134" t="n"/>
      <c r="P286" s="134" t="n"/>
      <c r="R286" s="134" t="n"/>
      <c r="T286" s="134" t="n"/>
      <c r="V286" s="134" t="n"/>
      <c r="X286" s="134" t="n"/>
    </row>
    <row r="287">
      <c r="L287" s="134" t="n"/>
      <c r="N287" s="134" t="n"/>
      <c r="P287" s="134" t="n"/>
      <c r="R287" s="134" t="n"/>
      <c r="T287" s="134" t="n"/>
      <c r="V287" s="134" t="n"/>
      <c r="X287" s="134" t="n"/>
    </row>
    <row r="288">
      <c r="L288" s="134" t="n"/>
      <c r="N288" s="134" t="n"/>
      <c r="P288" s="134" t="n"/>
      <c r="R288" s="134" t="n"/>
      <c r="T288" s="134" t="n"/>
      <c r="V288" s="134" t="n"/>
      <c r="X288" s="134" t="n"/>
    </row>
    <row r="289">
      <c r="L289" s="134" t="n"/>
      <c r="N289" s="134" t="n"/>
      <c r="P289" s="134" t="n"/>
      <c r="R289" s="134" t="n"/>
      <c r="T289" s="134" t="n"/>
      <c r="V289" s="134" t="n"/>
      <c r="X289" s="134" t="n"/>
    </row>
    <row r="290">
      <c r="L290" s="134" t="n"/>
      <c r="N290" s="134" t="n"/>
      <c r="P290" s="134" t="n"/>
      <c r="R290" s="134" t="n"/>
      <c r="T290" s="134" t="n"/>
      <c r="V290" s="134" t="n"/>
      <c r="X290" s="134" t="n"/>
    </row>
    <row r="291">
      <c r="L291" s="134" t="n"/>
      <c r="N291" s="134" t="n"/>
      <c r="P291" s="134" t="n"/>
      <c r="R291" s="134" t="n"/>
      <c r="T291" s="134" t="n"/>
      <c r="V291" s="134" t="n"/>
      <c r="X291" s="134" t="n"/>
    </row>
    <row r="292">
      <c r="L292" s="134" t="n"/>
      <c r="N292" s="134" t="n"/>
      <c r="P292" s="134" t="n"/>
      <c r="R292" s="134" t="n"/>
      <c r="T292" s="134" t="n"/>
      <c r="V292" s="134" t="n"/>
      <c r="X292" s="134" t="n"/>
    </row>
    <row r="293">
      <c r="L293" s="134" t="n"/>
      <c r="N293" s="134" t="n"/>
      <c r="P293" s="134" t="n"/>
      <c r="R293" s="134" t="n"/>
      <c r="T293" s="134" t="n"/>
      <c r="V293" s="134" t="n"/>
      <c r="X293" s="134" t="n"/>
    </row>
    <row r="294">
      <c r="L294" s="134" t="n"/>
      <c r="N294" s="134" t="n"/>
      <c r="P294" s="134" t="n"/>
      <c r="R294" s="134" t="n"/>
      <c r="T294" s="134" t="n"/>
      <c r="V294" s="134" t="n"/>
      <c r="X294" s="134" t="n"/>
    </row>
    <row r="295">
      <c r="L295" s="134" t="n"/>
      <c r="N295" s="134" t="n"/>
      <c r="P295" s="134" t="n"/>
      <c r="R295" s="134" t="n"/>
      <c r="T295" s="134" t="n"/>
      <c r="V295" s="134" t="n"/>
      <c r="X295" s="134" t="n"/>
    </row>
    <row r="296">
      <c r="L296" s="134" t="n"/>
      <c r="N296" s="134" t="n"/>
      <c r="P296" s="134" t="n"/>
      <c r="R296" s="134" t="n"/>
      <c r="T296" s="134" t="n"/>
      <c r="V296" s="134" t="n"/>
      <c r="X296" s="134" t="n"/>
    </row>
    <row r="297">
      <c r="L297" s="134" t="n"/>
      <c r="N297" s="134" t="n"/>
      <c r="P297" s="134" t="n"/>
      <c r="R297" s="134" t="n"/>
      <c r="T297" s="134" t="n"/>
      <c r="V297" s="134" t="n"/>
      <c r="X297" s="134" t="n"/>
    </row>
    <row r="298">
      <c r="L298" s="134" t="n"/>
      <c r="N298" s="134" t="n"/>
      <c r="P298" s="134" t="n"/>
      <c r="R298" s="134" t="n"/>
      <c r="T298" s="134" t="n"/>
      <c r="V298" s="134" t="n"/>
      <c r="X298" s="134" t="n"/>
    </row>
    <row r="299">
      <c r="L299" s="134" t="n"/>
      <c r="N299" s="134" t="n"/>
      <c r="P299" s="134" t="n"/>
      <c r="R299" s="134" t="n"/>
      <c r="T299" s="134" t="n"/>
      <c r="V299" s="134" t="n"/>
      <c r="X299" s="134" t="n"/>
    </row>
    <row r="300">
      <c r="L300" s="134" t="n"/>
      <c r="N300" s="134" t="n"/>
      <c r="P300" s="134" t="n"/>
      <c r="R300" s="134" t="n"/>
      <c r="T300" s="134" t="n"/>
      <c r="V300" s="134" t="n"/>
      <c r="X300" s="134" t="n"/>
    </row>
    <row r="301">
      <c r="L301" s="134" t="n"/>
      <c r="N301" s="134" t="n"/>
      <c r="P301" s="134" t="n"/>
      <c r="R301" s="134" t="n"/>
      <c r="T301" s="134" t="n"/>
      <c r="V301" s="134" t="n"/>
      <c r="X301" s="134" t="n"/>
    </row>
    <row r="302">
      <c r="L302" s="134" t="n"/>
      <c r="N302" s="134" t="n"/>
      <c r="P302" s="134" t="n"/>
      <c r="R302" s="134" t="n"/>
      <c r="T302" s="134" t="n"/>
      <c r="V302" s="134" t="n"/>
      <c r="X302" s="134" t="n"/>
    </row>
    <row r="303">
      <c r="L303" s="134" t="n"/>
      <c r="N303" s="134" t="n"/>
      <c r="P303" s="134" t="n"/>
      <c r="R303" s="134" t="n"/>
      <c r="T303" s="134" t="n"/>
      <c r="V303" s="134" t="n"/>
      <c r="X303" s="134" t="n"/>
    </row>
    <row r="304">
      <c r="L304" s="134" t="n"/>
      <c r="N304" s="134" t="n"/>
      <c r="P304" s="134" t="n"/>
      <c r="R304" s="134" t="n"/>
      <c r="T304" s="134" t="n"/>
      <c r="V304" s="134" t="n"/>
      <c r="X304" s="134" t="n"/>
    </row>
    <row r="305">
      <c r="L305" s="134" t="n"/>
      <c r="N305" s="134" t="n"/>
      <c r="P305" s="134" t="n"/>
      <c r="R305" s="134" t="n"/>
      <c r="T305" s="134" t="n"/>
      <c r="V305" s="134" t="n"/>
      <c r="X305" s="134" t="n"/>
    </row>
    <row r="306">
      <c r="L306" s="134" t="n"/>
      <c r="N306" s="134" t="n"/>
      <c r="P306" s="134" t="n"/>
      <c r="R306" s="134" t="n"/>
      <c r="T306" s="134" t="n"/>
      <c r="V306" s="134" t="n"/>
      <c r="X306" s="134" t="n"/>
    </row>
    <row r="307">
      <c r="L307" s="134" t="n"/>
      <c r="N307" s="134" t="n"/>
      <c r="P307" s="134" t="n"/>
      <c r="R307" s="134" t="n"/>
      <c r="T307" s="134" t="n"/>
      <c r="V307" s="134" t="n"/>
      <c r="X307" s="134" t="n"/>
    </row>
    <row r="308">
      <c r="L308" s="134" t="n"/>
      <c r="N308" s="134" t="n"/>
      <c r="P308" s="134" t="n"/>
      <c r="R308" s="134" t="n"/>
      <c r="T308" s="134" t="n"/>
      <c r="V308" s="134" t="n"/>
      <c r="X308" s="134" t="n"/>
    </row>
    <row r="309">
      <c r="L309" s="134" t="n"/>
      <c r="N309" s="134" t="n"/>
      <c r="P309" s="134" t="n"/>
      <c r="R309" s="134" t="n"/>
      <c r="T309" s="134" t="n"/>
      <c r="V309" s="134" t="n"/>
      <c r="X309" s="134" t="n"/>
    </row>
    <row r="310">
      <c r="L310" s="134" t="n"/>
      <c r="N310" s="134" t="n"/>
      <c r="P310" s="134" t="n"/>
      <c r="R310" s="134" t="n"/>
      <c r="T310" s="134" t="n"/>
      <c r="V310" s="134" t="n"/>
      <c r="X310" s="134" t="n"/>
    </row>
    <row r="311">
      <c r="L311" s="134" t="n"/>
      <c r="N311" s="134" t="n"/>
      <c r="P311" s="134" t="n"/>
      <c r="R311" s="134" t="n"/>
      <c r="T311" s="134" t="n"/>
      <c r="V311" s="134" t="n"/>
      <c r="X311" s="134" t="n"/>
    </row>
    <row r="312">
      <c r="L312" s="134" t="n"/>
      <c r="N312" s="134" t="n"/>
      <c r="P312" s="134" t="n"/>
      <c r="R312" s="134" t="n"/>
      <c r="T312" s="134" t="n"/>
      <c r="V312" s="134" t="n"/>
      <c r="X312" s="134" t="n"/>
    </row>
    <row r="313">
      <c r="L313" s="134" t="n"/>
      <c r="N313" s="134" t="n"/>
      <c r="P313" s="134" t="n"/>
      <c r="R313" s="134" t="n"/>
      <c r="T313" s="134" t="n"/>
      <c r="V313" s="134" t="n"/>
      <c r="X313" s="134" t="n"/>
    </row>
    <row r="314">
      <c r="L314" s="134" t="n"/>
      <c r="N314" s="134" t="n"/>
      <c r="P314" s="134" t="n"/>
      <c r="R314" s="134" t="n"/>
      <c r="T314" s="134" t="n"/>
      <c r="V314" s="134" t="n"/>
      <c r="X314" s="134" t="n"/>
    </row>
    <row r="315">
      <c r="L315" s="134" t="n"/>
      <c r="N315" s="134" t="n"/>
      <c r="P315" s="134" t="n"/>
      <c r="R315" s="134" t="n"/>
      <c r="T315" s="134" t="n"/>
      <c r="V315" s="134" t="n"/>
      <c r="X315" s="134" t="n"/>
    </row>
    <row r="316">
      <c r="L316" s="134" t="n"/>
      <c r="N316" s="134" t="n"/>
      <c r="P316" s="134" t="n"/>
      <c r="R316" s="134" t="n"/>
      <c r="T316" s="134" t="n"/>
      <c r="V316" s="134" t="n"/>
      <c r="X316" s="134" t="n"/>
    </row>
    <row r="317">
      <c r="L317" s="134" t="n"/>
      <c r="N317" s="134" t="n"/>
      <c r="P317" s="134" t="n"/>
      <c r="R317" s="134" t="n"/>
      <c r="T317" s="134" t="n"/>
      <c r="V317" s="134" t="n"/>
      <c r="X317" s="134" t="n"/>
    </row>
    <row r="318">
      <c r="L318" s="134" t="n"/>
      <c r="N318" s="134" t="n"/>
      <c r="P318" s="134" t="n"/>
      <c r="R318" s="134" t="n"/>
      <c r="T318" s="134" t="n"/>
      <c r="V318" s="134" t="n"/>
      <c r="X318" s="134" t="n"/>
    </row>
    <row r="319">
      <c r="L319" s="134" t="n"/>
      <c r="N319" s="134" t="n"/>
      <c r="P319" s="134" t="n"/>
      <c r="R319" s="134" t="n"/>
      <c r="T319" s="134" t="n"/>
      <c r="V319" s="134" t="n"/>
      <c r="X319" s="134" t="n"/>
    </row>
    <row r="320">
      <c r="L320" s="134" t="n"/>
      <c r="N320" s="134" t="n"/>
      <c r="P320" s="134" t="n"/>
      <c r="R320" s="134" t="n"/>
      <c r="T320" s="134" t="n"/>
      <c r="V320" s="134" t="n"/>
      <c r="X320" s="134" t="n"/>
    </row>
    <row r="321">
      <c r="L321" s="134" t="n"/>
      <c r="N321" s="134" t="n"/>
      <c r="P321" s="134" t="n"/>
      <c r="R321" s="134" t="n"/>
      <c r="T321" s="134" t="n"/>
      <c r="V321" s="134" t="n"/>
      <c r="X321" s="134" t="n"/>
    </row>
    <row r="322">
      <c r="L322" s="134" t="n"/>
      <c r="N322" s="134" t="n"/>
      <c r="P322" s="134" t="n"/>
      <c r="R322" s="134" t="n"/>
      <c r="T322" s="134" t="n"/>
      <c r="V322" s="134" t="n"/>
      <c r="X322" s="134" t="n"/>
    </row>
    <row r="323">
      <c r="L323" s="134" t="n"/>
      <c r="N323" s="134" t="n"/>
      <c r="P323" s="134" t="n"/>
      <c r="R323" s="134" t="n"/>
      <c r="T323" s="134" t="n"/>
      <c r="V323" s="134" t="n"/>
      <c r="X323" s="134" t="n"/>
    </row>
    <row r="324">
      <c r="L324" s="134" t="n"/>
      <c r="N324" s="134" t="n"/>
      <c r="P324" s="134" t="n"/>
      <c r="R324" s="134" t="n"/>
      <c r="T324" s="134" t="n"/>
      <c r="V324" s="134" t="n"/>
      <c r="X324" s="134" t="n"/>
    </row>
    <row r="325">
      <c r="L325" s="134" t="n"/>
      <c r="N325" s="134" t="n"/>
      <c r="P325" s="134" t="n"/>
      <c r="R325" s="134" t="n"/>
      <c r="T325" s="134" t="n"/>
      <c r="V325" s="134" t="n"/>
      <c r="X325" s="134" t="n"/>
    </row>
    <row r="326">
      <c r="L326" s="134" t="n"/>
      <c r="N326" s="134" t="n"/>
      <c r="P326" s="134" t="n"/>
      <c r="R326" s="134" t="n"/>
      <c r="T326" s="134" t="n"/>
      <c r="V326" s="134" t="n"/>
      <c r="X326" s="134" t="n"/>
    </row>
    <row r="327">
      <c r="L327" s="134" t="n"/>
      <c r="N327" s="134" t="n"/>
      <c r="P327" s="134" t="n"/>
      <c r="R327" s="134" t="n"/>
      <c r="T327" s="134" t="n"/>
      <c r="V327" s="134" t="n"/>
      <c r="X327" s="134" t="n"/>
    </row>
    <row r="328">
      <c r="L328" s="134" t="n"/>
      <c r="N328" s="134" t="n"/>
      <c r="P328" s="134" t="n"/>
      <c r="R328" s="134" t="n"/>
      <c r="T328" s="134" t="n"/>
      <c r="V328" s="134" t="n"/>
      <c r="X328" s="134" t="n"/>
    </row>
    <row r="329">
      <c r="L329" s="134" t="n"/>
      <c r="N329" s="134" t="n"/>
      <c r="P329" s="134" t="n"/>
      <c r="R329" s="134" t="n"/>
      <c r="T329" s="134" t="n"/>
      <c r="V329" s="134" t="n"/>
      <c r="X329" s="134" t="n"/>
    </row>
    <row r="330">
      <c r="L330" s="134" t="n"/>
      <c r="N330" s="134" t="n"/>
      <c r="P330" s="134" t="n"/>
      <c r="R330" s="134" t="n"/>
      <c r="T330" s="134" t="n"/>
      <c r="V330" s="134" t="n"/>
      <c r="X330" s="134" t="n"/>
    </row>
    <row r="331">
      <c r="L331" s="134" t="n"/>
      <c r="N331" s="134" t="n"/>
      <c r="P331" s="134" t="n"/>
      <c r="R331" s="134" t="n"/>
      <c r="T331" s="134" t="n"/>
      <c r="V331" s="134" t="n"/>
      <c r="X331" s="134" t="n"/>
    </row>
    <row r="332">
      <c r="L332" s="134" t="n"/>
      <c r="N332" s="134" t="n"/>
      <c r="P332" s="134" t="n"/>
      <c r="R332" s="134" t="n"/>
      <c r="T332" s="134" t="n"/>
      <c r="V332" s="134" t="n"/>
      <c r="X332" s="134" t="n"/>
    </row>
    <row r="333">
      <c r="L333" s="134" t="n"/>
      <c r="N333" s="134" t="n"/>
      <c r="P333" s="134" t="n"/>
      <c r="R333" s="134" t="n"/>
      <c r="T333" s="134" t="n"/>
      <c r="V333" s="134" t="n"/>
      <c r="X333" s="134" t="n"/>
    </row>
    <row r="334">
      <c r="L334" s="134" t="n"/>
      <c r="N334" s="134" t="n"/>
      <c r="P334" s="134" t="n"/>
      <c r="R334" s="134" t="n"/>
      <c r="T334" s="134" t="n"/>
      <c r="V334" s="134" t="n"/>
      <c r="X334" s="134" t="n"/>
    </row>
    <row r="335">
      <c r="L335" s="134" t="n"/>
      <c r="N335" s="134" t="n"/>
      <c r="P335" s="134" t="n"/>
      <c r="R335" s="134" t="n"/>
      <c r="T335" s="134" t="n"/>
      <c r="V335" s="134" t="n"/>
      <c r="X335" s="134" t="n"/>
    </row>
    <row r="336">
      <c r="L336" s="134" t="n"/>
      <c r="N336" s="134" t="n"/>
      <c r="P336" s="134" t="n"/>
      <c r="R336" s="134" t="n"/>
      <c r="T336" s="134" t="n"/>
      <c r="V336" s="134" t="n"/>
      <c r="X336" s="134" t="n"/>
    </row>
    <row r="337">
      <c r="L337" s="134" t="n"/>
      <c r="N337" s="134" t="n"/>
      <c r="P337" s="134" t="n"/>
      <c r="R337" s="134" t="n"/>
      <c r="T337" s="134" t="n"/>
      <c r="V337" s="134" t="n"/>
      <c r="X337" s="134" t="n"/>
    </row>
    <row r="338">
      <c r="L338" s="134" t="n"/>
      <c r="N338" s="134" t="n"/>
      <c r="P338" s="134" t="n"/>
      <c r="R338" s="134" t="n"/>
      <c r="T338" s="134" t="n"/>
      <c r="V338" s="134" t="n"/>
      <c r="X338" s="134" t="n"/>
    </row>
    <row r="339">
      <c r="L339" s="134" t="n"/>
      <c r="N339" s="134" t="n"/>
      <c r="P339" s="134" t="n"/>
      <c r="R339" s="134" t="n"/>
      <c r="T339" s="134" t="n"/>
      <c r="V339" s="134" t="n"/>
      <c r="X339" s="134" t="n"/>
    </row>
    <row r="340">
      <c r="L340" s="134" t="n"/>
      <c r="N340" s="134" t="n"/>
      <c r="P340" s="134" t="n"/>
      <c r="R340" s="134" t="n"/>
      <c r="T340" s="134" t="n"/>
      <c r="V340" s="134" t="n"/>
      <c r="X340" s="134" t="n"/>
    </row>
    <row r="341">
      <c r="L341" s="134" t="n"/>
      <c r="N341" s="134" t="n"/>
      <c r="P341" s="134" t="n"/>
      <c r="R341" s="134" t="n"/>
      <c r="T341" s="134" t="n"/>
      <c r="V341" s="134" t="n"/>
      <c r="X341" s="134" t="n"/>
    </row>
    <row r="342">
      <c r="L342" s="134" t="n"/>
      <c r="N342" s="134" t="n"/>
      <c r="P342" s="134" t="n"/>
      <c r="R342" s="134" t="n"/>
      <c r="T342" s="134" t="n"/>
      <c r="V342" s="134" t="n"/>
      <c r="X342" s="134" t="n"/>
    </row>
    <row r="343">
      <c r="L343" s="134" t="n"/>
      <c r="N343" s="134" t="n"/>
      <c r="P343" s="134" t="n"/>
      <c r="R343" s="134" t="n"/>
      <c r="T343" s="134" t="n"/>
      <c r="V343" s="134" t="n"/>
      <c r="X343" s="134" t="n"/>
    </row>
    <row r="344">
      <c r="L344" s="134" t="n"/>
      <c r="N344" s="134" t="n"/>
      <c r="P344" s="134" t="n"/>
      <c r="R344" s="134" t="n"/>
      <c r="T344" s="134" t="n"/>
      <c r="V344" s="134" t="n"/>
      <c r="X344" s="134" t="n"/>
    </row>
    <row r="345">
      <c r="L345" s="134" t="n"/>
      <c r="N345" s="134" t="n"/>
      <c r="P345" s="134" t="n"/>
      <c r="R345" s="134" t="n"/>
      <c r="T345" s="134" t="n"/>
      <c r="V345" s="134" t="n"/>
      <c r="X345" s="134" t="n"/>
    </row>
    <row r="346">
      <c r="L346" s="134" t="n"/>
      <c r="N346" s="134" t="n"/>
      <c r="P346" s="134" t="n"/>
      <c r="R346" s="134" t="n"/>
      <c r="T346" s="134" t="n"/>
      <c r="V346" s="134" t="n"/>
      <c r="X346" s="134" t="n"/>
    </row>
    <row r="347">
      <c r="L347" s="134" t="n"/>
      <c r="N347" s="134" t="n"/>
      <c r="P347" s="134" t="n"/>
      <c r="R347" s="134" t="n"/>
      <c r="T347" s="134" t="n"/>
      <c r="V347" s="134" t="n"/>
      <c r="X347" s="134" t="n"/>
    </row>
    <row r="348">
      <c r="L348" s="134" t="n"/>
      <c r="N348" s="134" t="n"/>
      <c r="P348" s="134" t="n"/>
      <c r="R348" s="134" t="n"/>
      <c r="T348" s="134" t="n"/>
      <c r="V348" s="134" t="n"/>
      <c r="X348" s="134" t="n"/>
    </row>
    <row r="349">
      <c r="L349" s="134" t="n"/>
      <c r="N349" s="134" t="n"/>
      <c r="P349" s="134" t="n"/>
      <c r="R349" s="134" t="n"/>
      <c r="T349" s="134" t="n"/>
      <c r="V349" s="134" t="n"/>
      <c r="X349" s="134" t="n"/>
    </row>
    <row r="350">
      <c r="L350" s="134" t="n"/>
      <c r="N350" s="134" t="n"/>
      <c r="P350" s="134" t="n"/>
      <c r="R350" s="134" t="n"/>
      <c r="T350" s="134" t="n"/>
      <c r="V350" s="134" t="n"/>
      <c r="X350" s="134" t="n"/>
    </row>
    <row r="351">
      <c r="L351" s="134" t="n"/>
      <c r="N351" s="134" t="n"/>
      <c r="P351" s="134" t="n"/>
      <c r="R351" s="134" t="n"/>
      <c r="T351" s="134" t="n"/>
      <c r="V351" s="134" t="n"/>
      <c r="X351" s="134" t="n"/>
    </row>
    <row r="352">
      <c r="L352" s="134" t="n"/>
      <c r="N352" s="134" t="n"/>
      <c r="P352" s="134" t="n"/>
      <c r="R352" s="134" t="n"/>
      <c r="T352" s="134" t="n"/>
      <c r="V352" s="134" t="n"/>
      <c r="X352" s="134" t="n"/>
    </row>
    <row r="353">
      <c r="L353" s="134" t="n"/>
      <c r="N353" s="134" t="n"/>
      <c r="P353" s="134" t="n"/>
      <c r="R353" s="134" t="n"/>
      <c r="T353" s="134" t="n"/>
      <c r="V353" s="134" t="n"/>
      <c r="X353" s="134" t="n"/>
    </row>
    <row r="354">
      <c r="L354" s="134" t="n"/>
      <c r="N354" s="134" t="n"/>
      <c r="P354" s="134" t="n"/>
      <c r="R354" s="134" t="n"/>
      <c r="T354" s="134" t="n"/>
      <c r="V354" s="134" t="n"/>
      <c r="X354" s="134" t="n"/>
    </row>
    <row r="355">
      <c r="L355" s="134" t="n"/>
      <c r="N355" s="134" t="n"/>
      <c r="P355" s="134" t="n"/>
      <c r="R355" s="134" t="n"/>
      <c r="T355" s="134" t="n"/>
      <c r="V355" s="134" t="n"/>
      <c r="X355" s="134" t="n"/>
    </row>
    <row r="356">
      <c r="L356" s="134" t="n"/>
      <c r="N356" s="134" t="n"/>
      <c r="P356" s="134" t="n"/>
      <c r="R356" s="134" t="n"/>
      <c r="T356" s="134" t="n"/>
      <c r="V356" s="134" t="n"/>
      <c r="X356" s="134" t="n"/>
    </row>
    <row r="357">
      <c r="L357" s="134" t="n"/>
      <c r="N357" s="134" t="n"/>
      <c r="P357" s="134" t="n"/>
      <c r="R357" s="134" t="n"/>
      <c r="T357" s="134" t="n"/>
      <c r="V357" s="134" t="n"/>
      <c r="X357" s="134" t="n"/>
    </row>
    <row r="358">
      <c r="L358" s="134" t="n"/>
      <c r="N358" s="134" t="n"/>
      <c r="P358" s="134" t="n"/>
      <c r="R358" s="134" t="n"/>
      <c r="T358" s="134" t="n"/>
      <c r="V358" s="134" t="n"/>
      <c r="X358" s="134" t="n"/>
    </row>
    <row r="359">
      <c r="L359" s="134" t="n"/>
      <c r="N359" s="134" t="n"/>
      <c r="P359" s="134" t="n"/>
      <c r="R359" s="134" t="n"/>
      <c r="T359" s="134" t="n"/>
      <c r="V359" s="134" t="n"/>
      <c r="X359" s="134" t="n"/>
    </row>
    <row r="360">
      <c r="L360" s="134" t="n"/>
      <c r="N360" s="134" t="n"/>
      <c r="P360" s="134" t="n"/>
      <c r="R360" s="134" t="n"/>
      <c r="T360" s="134" t="n"/>
      <c r="V360" s="134" t="n"/>
      <c r="X360" s="134" t="n"/>
    </row>
    <row r="361">
      <c r="L361" s="134" t="n"/>
      <c r="N361" s="134" t="n"/>
      <c r="P361" s="134" t="n"/>
      <c r="R361" s="134" t="n"/>
      <c r="T361" s="134" t="n"/>
      <c r="V361" s="134" t="n"/>
      <c r="X361" s="134" t="n"/>
    </row>
    <row r="362">
      <c r="L362" s="134" t="n"/>
      <c r="N362" s="134" t="n"/>
      <c r="P362" s="134" t="n"/>
      <c r="R362" s="134" t="n"/>
      <c r="T362" s="134" t="n"/>
      <c r="V362" s="134" t="n"/>
      <c r="X362" s="134" t="n"/>
    </row>
    <row r="363">
      <c r="L363" s="134" t="n"/>
      <c r="N363" s="134" t="n"/>
      <c r="P363" s="134" t="n"/>
      <c r="R363" s="134" t="n"/>
      <c r="T363" s="134" t="n"/>
      <c r="V363" s="134" t="n"/>
      <c r="X363" s="134" t="n"/>
    </row>
    <row r="364">
      <c r="L364" s="134" t="n"/>
      <c r="N364" s="134" t="n"/>
      <c r="P364" s="134" t="n"/>
      <c r="R364" s="134" t="n"/>
      <c r="T364" s="134" t="n"/>
      <c r="V364" s="134" t="n"/>
      <c r="X364" s="134" t="n"/>
    </row>
    <row r="365">
      <c r="L365" s="134" t="n"/>
      <c r="N365" s="134" t="n"/>
      <c r="P365" s="134" t="n"/>
      <c r="R365" s="134" t="n"/>
      <c r="T365" s="134" t="n"/>
      <c r="V365" s="134" t="n"/>
      <c r="X365" s="134" t="n"/>
    </row>
    <row r="366">
      <c r="L366" s="134" t="n"/>
      <c r="N366" s="134" t="n"/>
      <c r="P366" s="134" t="n"/>
      <c r="R366" s="134" t="n"/>
      <c r="T366" s="134" t="n"/>
      <c r="V366" s="134" t="n"/>
      <c r="X366" s="134" t="n"/>
    </row>
    <row r="367">
      <c r="L367" s="134" t="n"/>
      <c r="N367" s="134" t="n"/>
      <c r="P367" s="134" t="n"/>
      <c r="R367" s="134" t="n"/>
      <c r="T367" s="134" t="n"/>
      <c r="V367" s="134" t="n"/>
      <c r="X367" s="134" t="n"/>
    </row>
    <row r="368">
      <c r="L368" s="134" t="n"/>
      <c r="N368" s="134" t="n"/>
      <c r="P368" s="134" t="n"/>
      <c r="R368" s="134" t="n"/>
      <c r="T368" s="134" t="n"/>
      <c r="V368" s="134" t="n"/>
      <c r="X368" s="134" t="n"/>
    </row>
    <row r="369">
      <c r="L369" s="134" t="n"/>
      <c r="N369" s="134" t="n"/>
      <c r="P369" s="134" t="n"/>
      <c r="R369" s="134" t="n"/>
      <c r="T369" s="134" t="n"/>
      <c r="V369" s="134" t="n"/>
      <c r="X369" s="134" t="n"/>
    </row>
    <row r="370">
      <c r="L370" s="134" t="n"/>
      <c r="N370" s="134" t="n"/>
      <c r="P370" s="134" t="n"/>
      <c r="R370" s="134" t="n"/>
      <c r="T370" s="134" t="n"/>
      <c r="V370" s="134" t="n"/>
      <c r="X370" s="134" t="n"/>
    </row>
    <row r="371">
      <c r="L371" s="134" t="n"/>
      <c r="N371" s="134" t="n"/>
      <c r="P371" s="134" t="n"/>
      <c r="R371" s="134" t="n"/>
      <c r="T371" s="134" t="n"/>
      <c r="V371" s="134" t="n"/>
      <c r="X371" s="134" t="n"/>
    </row>
    <row r="372">
      <c r="L372" s="134" t="n"/>
      <c r="N372" s="134" t="n"/>
      <c r="P372" s="134" t="n"/>
      <c r="R372" s="134" t="n"/>
      <c r="T372" s="134" t="n"/>
      <c r="V372" s="134" t="n"/>
      <c r="X372" s="134" t="n"/>
    </row>
    <row r="373">
      <c r="L373" s="134" t="n"/>
      <c r="N373" s="134" t="n"/>
      <c r="P373" s="134" t="n"/>
      <c r="R373" s="134" t="n"/>
      <c r="T373" s="134" t="n"/>
      <c r="V373" s="134" t="n"/>
      <c r="X373" s="134" t="n"/>
    </row>
    <row r="374">
      <c r="L374" s="134" t="n"/>
      <c r="N374" s="134" t="n"/>
      <c r="P374" s="134" t="n"/>
      <c r="R374" s="134" t="n"/>
      <c r="T374" s="134" t="n"/>
      <c r="V374" s="134" t="n"/>
      <c r="X374" s="134" t="n"/>
    </row>
    <row r="375">
      <c r="L375" s="134" t="n"/>
      <c r="N375" s="134" t="n"/>
      <c r="P375" s="134" t="n"/>
      <c r="R375" s="134" t="n"/>
      <c r="T375" s="134" t="n"/>
      <c r="V375" s="134" t="n"/>
      <c r="X375" s="134" t="n"/>
    </row>
    <row r="376">
      <c r="L376" s="134" t="n"/>
      <c r="N376" s="134" t="n"/>
      <c r="P376" s="134" t="n"/>
      <c r="R376" s="134" t="n"/>
      <c r="T376" s="134" t="n"/>
      <c r="V376" s="134" t="n"/>
      <c r="X376" s="134" t="n"/>
    </row>
    <row r="377">
      <c r="L377" s="134" t="n"/>
      <c r="N377" s="134" t="n"/>
      <c r="P377" s="134" t="n"/>
      <c r="R377" s="134" t="n"/>
      <c r="T377" s="134" t="n"/>
      <c r="V377" s="134" t="n"/>
      <c r="X377" s="134" t="n"/>
    </row>
    <row r="378">
      <c r="L378" s="134" t="n"/>
      <c r="N378" s="134" t="n"/>
      <c r="P378" s="134" t="n"/>
      <c r="R378" s="134" t="n"/>
      <c r="T378" s="134" t="n"/>
      <c r="V378" s="134" t="n"/>
      <c r="X378" s="134" t="n"/>
    </row>
    <row r="379">
      <c r="L379" s="134" t="n"/>
      <c r="N379" s="134" t="n"/>
      <c r="P379" s="134" t="n"/>
      <c r="R379" s="134" t="n"/>
      <c r="T379" s="134" t="n"/>
      <c r="V379" s="134" t="n"/>
      <c r="X379" s="134" t="n"/>
    </row>
    <row r="380">
      <c r="L380" s="134" t="n"/>
      <c r="N380" s="134" t="n"/>
      <c r="P380" s="134" t="n"/>
      <c r="R380" s="134" t="n"/>
      <c r="T380" s="134" t="n"/>
      <c r="V380" s="134" t="n"/>
      <c r="X380" s="134" t="n"/>
    </row>
    <row r="381">
      <c r="L381" s="134" t="n"/>
      <c r="N381" s="134" t="n"/>
      <c r="P381" s="134" t="n"/>
      <c r="R381" s="134" t="n"/>
      <c r="T381" s="134" t="n"/>
      <c r="V381" s="134" t="n"/>
      <c r="X381" s="134" t="n"/>
    </row>
    <row r="382">
      <c r="L382" s="134" t="n"/>
      <c r="N382" s="134" t="n"/>
      <c r="P382" s="134" t="n"/>
      <c r="R382" s="134" t="n"/>
      <c r="T382" s="134" t="n"/>
      <c r="V382" s="134" t="n"/>
      <c r="X382" s="134" t="n"/>
    </row>
    <row r="383">
      <c r="L383" s="134" t="n"/>
      <c r="N383" s="134" t="n"/>
      <c r="P383" s="134" t="n"/>
      <c r="R383" s="134" t="n"/>
      <c r="T383" s="134" t="n"/>
      <c r="V383" s="134" t="n"/>
      <c r="X383" s="134" t="n"/>
    </row>
    <row r="384">
      <c r="L384" s="134" t="n"/>
      <c r="N384" s="134" t="n"/>
      <c r="P384" s="134" t="n"/>
      <c r="R384" s="134" t="n"/>
      <c r="T384" s="134" t="n"/>
      <c r="V384" s="134" t="n"/>
      <c r="X384" s="134" t="n"/>
    </row>
    <row r="385">
      <c r="L385" s="134" t="n"/>
      <c r="N385" s="134" t="n"/>
      <c r="P385" s="134" t="n"/>
      <c r="R385" s="134" t="n"/>
      <c r="T385" s="134" t="n"/>
      <c r="V385" s="134" t="n"/>
      <c r="X385" s="134" t="n"/>
    </row>
    <row r="386">
      <c r="L386" s="134" t="n"/>
      <c r="N386" s="134" t="n"/>
      <c r="P386" s="134" t="n"/>
      <c r="R386" s="134" t="n"/>
      <c r="T386" s="134" t="n"/>
      <c r="V386" s="134" t="n"/>
      <c r="X386" s="134" t="n"/>
    </row>
    <row r="387">
      <c r="L387" s="134" t="n"/>
      <c r="N387" s="134" t="n"/>
      <c r="P387" s="134" t="n"/>
      <c r="R387" s="134" t="n"/>
      <c r="T387" s="134" t="n"/>
      <c r="V387" s="134" t="n"/>
      <c r="X387" s="134" t="n"/>
    </row>
    <row r="388">
      <c r="L388" s="134" t="n"/>
      <c r="N388" s="134" t="n"/>
      <c r="P388" s="134" t="n"/>
      <c r="R388" s="134" t="n"/>
      <c r="T388" s="134" t="n"/>
      <c r="V388" s="134" t="n"/>
      <c r="X388" s="134" t="n"/>
    </row>
    <row r="389">
      <c r="L389" s="134" t="n"/>
      <c r="N389" s="134" t="n"/>
      <c r="P389" s="134" t="n"/>
      <c r="R389" s="134" t="n"/>
      <c r="T389" s="134" t="n"/>
      <c r="V389" s="134" t="n"/>
      <c r="X389" s="134" t="n"/>
    </row>
    <row r="390">
      <c r="L390" s="134" t="n"/>
      <c r="N390" s="134" t="n"/>
      <c r="P390" s="134" t="n"/>
      <c r="R390" s="134" t="n"/>
      <c r="T390" s="134" t="n"/>
      <c r="V390" s="134" t="n"/>
      <c r="X390" s="134" t="n"/>
    </row>
    <row r="391">
      <c r="L391" s="134" t="n"/>
      <c r="N391" s="134" t="n"/>
      <c r="P391" s="134" t="n"/>
      <c r="R391" s="134" t="n"/>
      <c r="T391" s="134" t="n"/>
      <c r="V391" s="134" t="n"/>
      <c r="X391" s="134" t="n"/>
    </row>
    <row r="392">
      <c r="L392" s="134" t="n"/>
      <c r="N392" s="134" t="n"/>
      <c r="P392" s="134" t="n"/>
      <c r="R392" s="134" t="n"/>
      <c r="T392" s="134" t="n"/>
      <c r="V392" s="134" t="n"/>
      <c r="X392" s="134" t="n"/>
    </row>
    <row r="393">
      <c r="L393" s="134" t="n"/>
      <c r="N393" s="134" t="n"/>
      <c r="P393" s="134" t="n"/>
      <c r="R393" s="134" t="n"/>
      <c r="T393" s="134" t="n"/>
      <c r="V393" s="134" t="n"/>
      <c r="X393" s="134" t="n"/>
    </row>
    <row r="394">
      <c r="L394" s="134" t="n"/>
      <c r="N394" s="134" t="n"/>
      <c r="P394" s="134" t="n"/>
      <c r="R394" s="134" t="n"/>
      <c r="T394" s="134" t="n"/>
      <c r="V394" s="134" t="n"/>
      <c r="X394" s="134" t="n"/>
    </row>
    <row r="395">
      <c r="L395" s="134" t="n"/>
      <c r="N395" s="134" t="n"/>
      <c r="P395" s="134" t="n"/>
      <c r="R395" s="134" t="n"/>
      <c r="T395" s="134" t="n"/>
      <c r="V395" s="134" t="n"/>
      <c r="X395" s="134" t="n"/>
    </row>
    <row r="396">
      <c r="L396" s="134" t="n"/>
      <c r="N396" s="134" t="n"/>
      <c r="P396" s="134" t="n"/>
      <c r="R396" s="134" t="n"/>
      <c r="T396" s="134" t="n"/>
      <c r="V396" s="134" t="n"/>
      <c r="X396" s="134" t="n"/>
    </row>
    <row r="397">
      <c r="L397" s="134" t="n"/>
      <c r="N397" s="134" t="n"/>
      <c r="P397" s="134" t="n"/>
      <c r="R397" s="134" t="n"/>
      <c r="T397" s="134" t="n"/>
      <c r="V397" s="134" t="n"/>
      <c r="X397" s="134" t="n"/>
    </row>
    <row r="398">
      <c r="L398" s="134" t="n"/>
      <c r="N398" s="134" t="n"/>
      <c r="P398" s="134" t="n"/>
      <c r="R398" s="134" t="n"/>
      <c r="T398" s="134" t="n"/>
      <c r="V398" s="134" t="n"/>
      <c r="X398" s="134" t="n"/>
    </row>
    <row r="399">
      <c r="L399" s="134" t="n"/>
      <c r="N399" s="134" t="n"/>
      <c r="P399" s="134" t="n"/>
      <c r="R399" s="134" t="n"/>
      <c r="T399" s="134" t="n"/>
      <c r="V399" s="134" t="n"/>
      <c r="X399" s="134" t="n"/>
    </row>
    <row r="400">
      <c r="L400" s="134" t="n"/>
      <c r="N400" s="134" t="n"/>
      <c r="P400" s="134" t="n"/>
      <c r="R400" s="134" t="n"/>
      <c r="T400" s="134" t="n"/>
      <c r="V400" s="134" t="n"/>
      <c r="X400" s="134" t="n"/>
    </row>
    <row r="401">
      <c r="L401" s="134" t="n"/>
      <c r="N401" s="134" t="n"/>
      <c r="P401" s="134" t="n"/>
      <c r="R401" s="134" t="n"/>
      <c r="T401" s="134" t="n"/>
      <c r="V401" s="134" t="n"/>
      <c r="X401" s="134" t="n"/>
    </row>
    <row r="402">
      <c r="L402" s="134" t="n"/>
      <c r="N402" s="134" t="n"/>
      <c r="P402" s="134" t="n"/>
      <c r="R402" s="134" t="n"/>
      <c r="T402" s="134" t="n"/>
      <c r="V402" s="134" t="n"/>
      <c r="X402" s="134" t="n"/>
    </row>
    <row r="403">
      <c r="L403" s="134" t="n"/>
      <c r="N403" s="134" t="n"/>
      <c r="P403" s="134" t="n"/>
      <c r="R403" s="134" t="n"/>
      <c r="T403" s="134" t="n"/>
      <c r="V403" s="134" t="n"/>
      <c r="X403" s="134" t="n"/>
    </row>
    <row r="404">
      <c r="L404" s="134" t="n"/>
      <c r="N404" s="134" t="n"/>
      <c r="P404" s="134" t="n"/>
      <c r="R404" s="134" t="n"/>
      <c r="T404" s="134" t="n"/>
      <c r="V404" s="134" t="n"/>
      <c r="X404" s="134" t="n"/>
    </row>
    <row r="405">
      <c r="L405" s="134" t="n"/>
      <c r="N405" s="134" t="n"/>
      <c r="P405" s="134" t="n"/>
      <c r="R405" s="134" t="n"/>
      <c r="T405" s="134" t="n"/>
      <c r="V405" s="134" t="n"/>
      <c r="X405" s="134" t="n"/>
    </row>
    <row r="406">
      <c r="L406" s="134" t="n"/>
      <c r="N406" s="134" t="n"/>
      <c r="P406" s="134" t="n"/>
      <c r="R406" s="134" t="n"/>
      <c r="T406" s="134" t="n"/>
      <c r="V406" s="134" t="n"/>
      <c r="X406" s="134" t="n"/>
    </row>
    <row r="407">
      <c r="L407" s="134" t="n"/>
      <c r="N407" s="134" t="n"/>
      <c r="P407" s="134" t="n"/>
      <c r="R407" s="134" t="n"/>
      <c r="T407" s="134" t="n"/>
      <c r="V407" s="134" t="n"/>
      <c r="X407" s="134" t="n"/>
    </row>
    <row r="408">
      <c r="L408" s="134" t="n"/>
      <c r="N408" s="134" t="n"/>
      <c r="P408" s="134" t="n"/>
      <c r="R408" s="134" t="n"/>
      <c r="T408" s="134" t="n"/>
      <c r="V408" s="134" t="n"/>
      <c r="X408" s="134" t="n"/>
    </row>
    <row r="409">
      <c r="L409" s="134" t="n"/>
      <c r="N409" s="134" t="n"/>
      <c r="P409" s="134" t="n"/>
      <c r="R409" s="134" t="n"/>
      <c r="T409" s="134" t="n"/>
      <c r="V409" s="134" t="n"/>
      <c r="X409" s="134" t="n"/>
    </row>
    <row r="410">
      <c r="L410" s="134" t="n"/>
      <c r="N410" s="134" t="n"/>
      <c r="P410" s="134" t="n"/>
      <c r="R410" s="134" t="n"/>
      <c r="T410" s="134" t="n"/>
      <c r="V410" s="134" t="n"/>
      <c r="X410" s="134" t="n"/>
    </row>
    <row r="411">
      <c r="L411" s="134" t="n"/>
      <c r="N411" s="134" t="n"/>
      <c r="P411" s="134" t="n"/>
      <c r="R411" s="134" t="n"/>
      <c r="T411" s="134" t="n"/>
      <c r="V411" s="134" t="n"/>
      <c r="X411" s="134" t="n"/>
    </row>
    <row r="412">
      <c r="L412" s="134" t="n"/>
      <c r="N412" s="134" t="n"/>
      <c r="P412" s="134" t="n"/>
      <c r="R412" s="134" t="n"/>
      <c r="T412" s="134" t="n"/>
      <c r="V412" s="134" t="n"/>
      <c r="X412" s="134" t="n"/>
    </row>
    <row r="413">
      <c r="L413" s="134" t="n"/>
      <c r="N413" s="134" t="n"/>
      <c r="P413" s="134" t="n"/>
      <c r="R413" s="134" t="n"/>
      <c r="T413" s="134" t="n"/>
      <c r="V413" s="134" t="n"/>
      <c r="X413" s="134" t="n"/>
    </row>
    <row r="414">
      <c r="L414" s="134" t="n"/>
      <c r="N414" s="134" t="n"/>
      <c r="P414" s="134" t="n"/>
      <c r="R414" s="134" t="n"/>
      <c r="T414" s="134" t="n"/>
      <c r="V414" s="134" t="n"/>
      <c r="X414" s="134" t="n"/>
    </row>
    <row r="415">
      <c r="L415" s="134" t="n"/>
      <c r="N415" s="134" t="n"/>
      <c r="P415" s="134" t="n"/>
      <c r="R415" s="134" t="n"/>
      <c r="T415" s="134" t="n"/>
      <c r="V415" s="134" t="n"/>
      <c r="X415" s="134" t="n"/>
    </row>
    <row r="416">
      <c r="L416" s="134" t="n"/>
      <c r="N416" s="134" t="n"/>
      <c r="P416" s="134" t="n"/>
      <c r="R416" s="134" t="n"/>
      <c r="T416" s="134" t="n"/>
      <c r="V416" s="134" t="n"/>
      <c r="X416" s="134" t="n"/>
    </row>
    <row r="417">
      <c r="L417" s="134" t="n"/>
      <c r="N417" s="134" t="n"/>
      <c r="P417" s="134" t="n"/>
      <c r="R417" s="134" t="n"/>
      <c r="T417" s="134" t="n"/>
      <c r="V417" s="134" t="n"/>
      <c r="X417" s="134" t="n"/>
    </row>
    <row r="418">
      <c r="L418" s="134" t="n"/>
      <c r="N418" s="134" t="n"/>
      <c r="P418" s="134" t="n"/>
      <c r="R418" s="134" t="n"/>
      <c r="T418" s="134" t="n"/>
      <c r="V418" s="134" t="n"/>
      <c r="X418" s="134" t="n"/>
    </row>
    <row r="419">
      <c r="L419" s="134" t="n"/>
      <c r="N419" s="134" t="n"/>
      <c r="P419" s="134" t="n"/>
      <c r="R419" s="134" t="n"/>
      <c r="T419" s="134" t="n"/>
      <c r="V419" s="134" t="n"/>
      <c r="X419" s="134" t="n"/>
    </row>
    <row r="420">
      <c r="L420" s="134" t="n"/>
      <c r="N420" s="134" t="n"/>
      <c r="P420" s="134" t="n"/>
      <c r="R420" s="134" t="n"/>
      <c r="T420" s="134" t="n"/>
      <c r="V420" s="134" t="n"/>
      <c r="X420" s="134" t="n"/>
    </row>
    <row r="421">
      <c r="L421" s="134" t="n"/>
      <c r="N421" s="134" t="n"/>
      <c r="P421" s="134" t="n"/>
      <c r="R421" s="134" t="n"/>
      <c r="T421" s="134" t="n"/>
      <c r="V421" s="134" t="n"/>
      <c r="X421" s="134" t="n"/>
    </row>
    <row r="422">
      <c r="L422" s="134" t="n"/>
      <c r="N422" s="134" t="n"/>
      <c r="P422" s="134" t="n"/>
      <c r="R422" s="134" t="n"/>
      <c r="T422" s="134" t="n"/>
      <c r="V422" s="134" t="n"/>
      <c r="X422" s="134" t="n"/>
    </row>
    <row r="423">
      <c r="L423" s="134" t="n"/>
      <c r="N423" s="134" t="n"/>
      <c r="P423" s="134" t="n"/>
      <c r="R423" s="134" t="n"/>
      <c r="T423" s="134" t="n"/>
      <c r="V423" s="134" t="n"/>
      <c r="X423" s="134" t="n"/>
    </row>
    <row r="424">
      <c r="L424" s="134" t="n"/>
      <c r="N424" s="134" t="n"/>
      <c r="P424" s="134" t="n"/>
      <c r="R424" s="134" t="n"/>
      <c r="T424" s="134" t="n"/>
      <c r="V424" s="134" t="n"/>
      <c r="X424" s="134" t="n"/>
    </row>
    <row r="425">
      <c r="L425" s="134" t="n"/>
      <c r="N425" s="134" t="n"/>
      <c r="P425" s="134" t="n"/>
      <c r="R425" s="134" t="n"/>
      <c r="T425" s="134" t="n"/>
      <c r="V425" s="134" t="n"/>
      <c r="X425" s="134" t="n"/>
    </row>
    <row r="426">
      <c r="L426" s="134" t="n"/>
      <c r="N426" s="134" t="n"/>
      <c r="P426" s="134" t="n"/>
      <c r="R426" s="134" t="n"/>
      <c r="T426" s="134" t="n"/>
      <c r="V426" s="134" t="n"/>
      <c r="X426" s="134" t="n"/>
    </row>
    <row r="427">
      <c r="L427" s="134" t="n"/>
      <c r="N427" s="134" t="n"/>
      <c r="P427" s="134" t="n"/>
      <c r="R427" s="134" t="n"/>
      <c r="T427" s="134" t="n"/>
      <c r="V427" s="134" t="n"/>
      <c r="X427" s="134" t="n"/>
    </row>
    <row r="428">
      <c r="L428" s="134" t="n"/>
      <c r="N428" s="134" t="n"/>
      <c r="P428" s="134" t="n"/>
      <c r="R428" s="134" t="n"/>
      <c r="T428" s="134" t="n"/>
      <c r="V428" s="134" t="n"/>
      <c r="X428" s="134" t="n"/>
    </row>
    <row r="429">
      <c r="L429" s="134" t="n"/>
      <c r="N429" s="134" t="n"/>
      <c r="P429" s="134" t="n"/>
      <c r="R429" s="134" t="n"/>
      <c r="T429" s="134" t="n"/>
      <c r="V429" s="134" t="n"/>
      <c r="X429" s="134" t="n"/>
    </row>
    <row r="430">
      <c r="L430" s="134" t="n"/>
      <c r="N430" s="134" t="n"/>
      <c r="P430" s="134" t="n"/>
      <c r="R430" s="134" t="n"/>
      <c r="T430" s="134" t="n"/>
      <c r="V430" s="134" t="n"/>
      <c r="X430" s="134" t="n"/>
    </row>
    <row r="431">
      <c r="L431" s="134" t="n"/>
      <c r="N431" s="134" t="n"/>
      <c r="P431" s="134" t="n"/>
      <c r="R431" s="134" t="n"/>
      <c r="T431" s="134" t="n"/>
      <c r="V431" s="134" t="n"/>
      <c r="X431" s="134" t="n"/>
    </row>
    <row r="432">
      <c r="L432" s="134" t="n"/>
      <c r="N432" s="134" t="n"/>
      <c r="P432" s="134" t="n"/>
      <c r="R432" s="134" t="n"/>
      <c r="T432" s="134" t="n"/>
      <c r="V432" s="134" t="n"/>
      <c r="X432" s="134" t="n"/>
    </row>
    <row r="433">
      <c r="L433" s="134" t="n"/>
      <c r="N433" s="134" t="n"/>
      <c r="P433" s="134" t="n"/>
      <c r="R433" s="134" t="n"/>
      <c r="T433" s="134" t="n"/>
      <c r="V433" s="134" t="n"/>
      <c r="X433" s="134" t="n"/>
    </row>
    <row r="434">
      <c r="L434" s="134" t="n"/>
      <c r="N434" s="134" t="n"/>
      <c r="P434" s="134" t="n"/>
      <c r="R434" s="134" t="n"/>
      <c r="T434" s="134" t="n"/>
      <c r="V434" s="134" t="n"/>
      <c r="X434" s="134" t="n"/>
    </row>
    <row r="435">
      <c r="L435" s="134" t="n"/>
      <c r="N435" s="134" t="n"/>
      <c r="P435" s="134" t="n"/>
      <c r="R435" s="134" t="n"/>
      <c r="T435" s="134" t="n"/>
      <c r="V435" s="134" t="n"/>
      <c r="X435" s="134" t="n"/>
    </row>
    <row r="436">
      <c r="L436" s="134" t="n"/>
      <c r="N436" s="134" t="n"/>
      <c r="P436" s="134" t="n"/>
      <c r="R436" s="134" t="n"/>
      <c r="T436" s="134" t="n"/>
      <c r="V436" s="134" t="n"/>
      <c r="X436" s="134" t="n"/>
    </row>
    <row r="437">
      <c r="L437" s="134" t="n"/>
      <c r="N437" s="134" t="n"/>
      <c r="P437" s="134" t="n"/>
      <c r="R437" s="134" t="n"/>
      <c r="T437" s="134" t="n"/>
      <c r="V437" s="134" t="n"/>
      <c r="X437" s="134" t="n"/>
    </row>
    <row r="438">
      <c r="L438" s="134" t="n"/>
      <c r="N438" s="134" t="n"/>
      <c r="P438" s="134" t="n"/>
      <c r="R438" s="134" t="n"/>
      <c r="T438" s="134" t="n"/>
      <c r="V438" s="134" t="n"/>
      <c r="X438" s="134" t="n"/>
    </row>
    <row r="439">
      <c r="L439" s="134" t="n"/>
      <c r="N439" s="134" t="n"/>
      <c r="P439" s="134" t="n"/>
      <c r="R439" s="134" t="n"/>
      <c r="T439" s="134" t="n"/>
      <c r="V439" s="134" t="n"/>
      <c r="X439" s="134" t="n"/>
    </row>
    <row r="440">
      <c r="L440" s="134" t="n"/>
      <c r="N440" s="134" t="n"/>
      <c r="P440" s="134" t="n"/>
      <c r="R440" s="134" t="n"/>
      <c r="T440" s="134" t="n"/>
      <c r="V440" s="134" t="n"/>
      <c r="X440" s="134" t="n"/>
    </row>
    <row r="441">
      <c r="L441" s="134" t="n"/>
      <c r="N441" s="134" t="n"/>
      <c r="P441" s="134" t="n"/>
      <c r="R441" s="134" t="n"/>
      <c r="T441" s="134" t="n"/>
      <c r="V441" s="134" t="n"/>
      <c r="X441" s="134" t="n"/>
    </row>
    <row r="442">
      <c r="L442" s="134" t="n"/>
      <c r="N442" s="134" t="n"/>
      <c r="P442" s="134" t="n"/>
      <c r="R442" s="134" t="n"/>
      <c r="T442" s="134" t="n"/>
      <c r="V442" s="134" t="n"/>
      <c r="X442" s="134" t="n"/>
    </row>
    <row r="443">
      <c r="L443" s="134" t="n"/>
      <c r="N443" s="134" t="n"/>
      <c r="P443" s="134" t="n"/>
      <c r="R443" s="134" t="n"/>
      <c r="T443" s="134" t="n"/>
      <c r="V443" s="134" t="n"/>
      <c r="X443" s="134" t="n"/>
    </row>
    <row r="444">
      <c r="L444" s="134" t="n"/>
      <c r="N444" s="134" t="n"/>
      <c r="P444" s="134" t="n"/>
      <c r="R444" s="134" t="n"/>
      <c r="T444" s="134" t="n"/>
      <c r="V444" s="134" t="n"/>
      <c r="X444" s="134" t="n"/>
    </row>
    <row r="445">
      <c r="L445" s="134" t="n"/>
      <c r="N445" s="134" t="n"/>
      <c r="P445" s="134" t="n"/>
      <c r="R445" s="134" t="n"/>
      <c r="T445" s="134" t="n"/>
      <c r="V445" s="134" t="n"/>
      <c r="X445" s="134" t="n"/>
    </row>
    <row r="446">
      <c r="L446" s="134" t="n"/>
      <c r="N446" s="134" t="n"/>
      <c r="P446" s="134" t="n"/>
      <c r="R446" s="134" t="n"/>
      <c r="T446" s="134" t="n"/>
      <c r="V446" s="134" t="n"/>
      <c r="X446" s="134" t="n"/>
    </row>
    <row r="447">
      <c r="L447" s="134" t="n"/>
      <c r="N447" s="134" t="n"/>
      <c r="P447" s="134" t="n"/>
      <c r="R447" s="134" t="n"/>
      <c r="T447" s="134" t="n"/>
      <c r="V447" s="134" t="n"/>
      <c r="X447" s="134" t="n"/>
    </row>
    <row r="448">
      <c r="L448" s="134" t="n"/>
      <c r="N448" s="134" t="n"/>
      <c r="P448" s="134" t="n"/>
      <c r="R448" s="134" t="n"/>
      <c r="T448" s="134" t="n"/>
      <c r="V448" s="134" t="n"/>
      <c r="X448" s="134" t="n"/>
    </row>
    <row r="449">
      <c r="L449" s="134" t="n"/>
      <c r="N449" s="134" t="n"/>
      <c r="P449" s="134" t="n"/>
      <c r="R449" s="134" t="n"/>
      <c r="T449" s="134" t="n"/>
      <c r="V449" s="134" t="n"/>
      <c r="X449" s="134" t="n"/>
    </row>
    <row r="450">
      <c r="L450" s="134" t="n"/>
      <c r="N450" s="134" t="n"/>
      <c r="P450" s="134" t="n"/>
      <c r="R450" s="134" t="n"/>
      <c r="T450" s="134" t="n"/>
      <c r="V450" s="134" t="n"/>
      <c r="X450" s="134" t="n"/>
    </row>
    <row r="451">
      <c r="L451" s="134" t="n"/>
      <c r="N451" s="134" t="n"/>
      <c r="P451" s="134" t="n"/>
      <c r="R451" s="134" t="n"/>
      <c r="T451" s="134" t="n"/>
      <c r="V451" s="134" t="n"/>
      <c r="X451" s="134" t="n"/>
    </row>
    <row r="452">
      <c r="L452" s="134" t="n"/>
      <c r="N452" s="134" t="n"/>
      <c r="P452" s="134" t="n"/>
      <c r="R452" s="134" t="n"/>
      <c r="T452" s="134" t="n"/>
      <c r="V452" s="134" t="n"/>
      <c r="X452" s="134" t="n"/>
    </row>
    <row r="453">
      <c r="L453" s="134" t="n"/>
      <c r="N453" s="134" t="n"/>
      <c r="P453" s="134" t="n"/>
      <c r="R453" s="134" t="n"/>
      <c r="T453" s="134" t="n"/>
      <c r="V453" s="134" t="n"/>
      <c r="X453" s="134" t="n"/>
    </row>
    <row r="454">
      <c r="L454" s="134" t="n"/>
      <c r="N454" s="134" t="n"/>
      <c r="P454" s="134" t="n"/>
      <c r="R454" s="134" t="n"/>
      <c r="T454" s="134" t="n"/>
      <c r="V454" s="134" t="n"/>
      <c r="X454" s="134" t="n"/>
    </row>
    <row r="455">
      <c r="L455" s="134" t="n"/>
      <c r="N455" s="134" t="n"/>
      <c r="P455" s="134" t="n"/>
      <c r="R455" s="134" t="n"/>
      <c r="T455" s="134" t="n"/>
      <c r="V455" s="134" t="n"/>
      <c r="X455" s="134" t="n"/>
    </row>
    <row r="456">
      <c r="L456" s="134" t="n"/>
      <c r="N456" s="134" t="n"/>
      <c r="P456" s="134" t="n"/>
      <c r="R456" s="134" t="n"/>
      <c r="T456" s="134" t="n"/>
      <c r="V456" s="134" t="n"/>
      <c r="X456" s="134" t="n"/>
    </row>
    <row r="457">
      <c r="L457" s="134" t="n"/>
      <c r="N457" s="134" t="n"/>
      <c r="P457" s="134" t="n"/>
      <c r="R457" s="134" t="n"/>
      <c r="T457" s="134" t="n"/>
      <c r="V457" s="134" t="n"/>
      <c r="X457" s="134" t="n"/>
    </row>
    <row r="458">
      <c r="L458" s="134" t="n"/>
      <c r="N458" s="134" t="n"/>
      <c r="P458" s="134" t="n"/>
      <c r="R458" s="134" t="n"/>
      <c r="T458" s="134" t="n"/>
      <c r="V458" s="134" t="n"/>
      <c r="X458" s="134" t="n"/>
    </row>
    <row r="459">
      <c r="L459" s="134" t="n"/>
      <c r="N459" s="134" t="n"/>
      <c r="P459" s="134" t="n"/>
      <c r="R459" s="134" t="n"/>
      <c r="T459" s="134" t="n"/>
      <c r="V459" s="134" t="n"/>
      <c r="X459" s="134" t="n"/>
    </row>
    <row r="460">
      <c r="L460" s="134" t="n"/>
      <c r="N460" s="134" t="n"/>
      <c r="P460" s="134" t="n"/>
      <c r="R460" s="134" t="n"/>
      <c r="T460" s="134" t="n"/>
      <c r="V460" s="134" t="n"/>
      <c r="X460" s="134" t="n"/>
    </row>
    <row r="461">
      <c r="L461" s="134" t="n"/>
      <c r="N461" s="134" t="n"/>
      <c r="P461" s="134" t="n"/>
      <c r="R461" s="134" t="n"/>
      <c r="T461" s="134" t="n"/>
      <c r="V461" s="134" t="n"/>
      <c r="X461" s="134" t="n"/>
    </row>
    <row r="462">
      <c r="L462" s="134" t="n"/>
      <c r="N462" s="134" t="n"/>
      <c r="P462" s="134" t="n"/>
      <c r="R462" s="134" t="n"/>
      <c r="T462" s="134" t="n"/>
      <c r="V462" s="134" t="n"/>
      <c r="X462" s="134" t="n"/>
    </row>
    <row r="463">
      <c r="L463" s="134" t="n"/>
      <c r="N463" s="134" t="n"/>
      <c r="P463" s="134" t="n"/>
      <c r="R463" s="134" t="n"/>
      <c r="T463" s="134" t="n"/>
      <c r="V463" s="134" t="n"/>
      <c r="X463" s="134" t="n"/>
    </row>
    <row r="464">
      <c r="L464" s="134" t="n"/>
      <c r="N464" s="134" t="n"/>
      <c r="P464" s="134" t="n"/>
      <c r="R464" s="134" t="n"/>
      <c r="T464" s="134" t="n"/>
      <c r="V464" s="134" t="n"/>
      <c r="X464" s="134" t="n"/>
    </row>
    <row r="465">
      <c r="L465" s="134" t="n"/>
      <c r="N465" s="134" t="n"/>
      <c r="P465" s="134" t="n"/>
      <c r="R465" s="134" t="n"/>
      <c r="T465" s="134" t="n"/>
      <c r="V465" s="134" t="n"/>
      <c r="X465" s="134" t="n"/>
    </row>
    <row r="466">
      <c r="L466" s="134" t="n"/>
      <c r="N466" s="134" t="n"/>
      <c r="P466" s="134" t="n"/>
      <c r="R466" s="134" t="n"/>
      <c r="T466" s="134" t="n"/>
      <c r="V466" s="134" t="n"/>
      <c r="X466" s="134" t="n"/>
    </row>
    <row r="467">
      <c r="L467" s="134" t="n"/>
      <c r="N467" s="134" t="n"/>
      <c r="P467" s="134" t="n"/>
      <c r="R467" s="134" t="n"/>
      <c r="T467" s="134" t="n"/>
      <c r="V467" s="134" t="n"/>
      <c r="X467" s="134" t="n"/>
    </row>
    <row r="468">
      <c r="L468" s="134" t="n"/>
      <c r="N468" s="134" t="n"/>
      <c r="P468" s="134" t="n"/>
      <c r="R468" s="134" t="n"/>
      <c r="T468" s="134" t="n"/>
      <c r="V468" s="134" t="n"/>
      <c r="X468" s="134" t="n"/>
    </row>
    <row r="469">
      <c r="L469" s="134" t="n"/>
      <c r="N469" s="134" t="n"/>
      <c r="P469" s="134" t="n"/>
      <c r="R469" s="134" t="n"/>
      <c r="T469" s="134" t="n"/>
      <c r="V469" s="134" t="n"/>
      <c r="X469" s="134" t="n"/>
    </row>
    <row r="470">
      <c r="L470" s="134" t="n"/>
      <c r="N470" s="134" t="n"/>
      <c r="P470" s="134" t="n"/>
      <c r="R470" s="134" t="n"/>
      <c r="T470" s="134" t="n"/>
      <c r="V470" s="134" t="n"/>
      <c r="X470" s="134" t="n"/>
    </row>
    <row r="471">
      <c r="L471" s="134" t="n"/>
      <c r="N471" s="134" t="n"/>
      <c r="P471" s="134" t="n"/>
      <c r="R471" s="134" t="n"/>
      <c r="T471" s="134" t="n"/>
      <c r="V471" s="134" t="n"/>
      <c r="X471" s="134" t="n"/>
    </row>
    <row r="472">
      <c r="L472" s="134" t="n"/>
      <c r="N472" s="134" t="n"/>
      <c r="P472" s="134" t="n"/>
      <c r="R472" s="134" t="n"/>
      <c r="T472" s="134" t="n"/>
      <c r="V472" s="134" t="n"/>
      <c r="X472" s="134" t="n"/>
    </row>
    <row r="473">
      <c r="L473" s="134" t="n"/>
      <c r="N473" s="134" t="n"/>
      <c r="P473" s="134" t="n"/>
      <c r="R473" s="134" t="n"/>
      <c r="T473" s="134" t="n"/>
      <c r="V473" s="134" t="n"/>
      <c r="X473" s="134" t="n"/>
    </row>
    <row r="474">
      <c r="L474" s="134" t="n"/>
      <c r="N474" s="134" t="n"/>
      <c r="P474" s="134" t="n"/>
      <c r="R474" s="134" t="n"/>
      <c r="T474" s="134" t="n"/>
      <c r="V474" s="134" t="n"/>
      <c r="X474" s="134" t="n"/>
    </row>
    <row r="475">
      <c r="L475" s="134" t="n"/>
      <c r="N475" s="134" t="n"/>
      <c r="P475" s="134" t="n"/>
      <c r="R475" s="134" t="n"/>
      <c r="T475" s="134" t="n"/>
      <c r="V475" s="134" t="n"/>
      <c r="X475" s="134" t="n"/>
    </row>
    <row r="476">
      <c r="L476" s="134" t="n"/>
      <c r="N476" s="134" t="n"/>
      <c r="P476" s="134" t="n"/>
      <c r="R476" s="134" t="n"/>
      <c r="T476" s="134" t="n"/>
      <c r="V476" s="134" t="n"/>
      <c r="X476" s="134" t="n"/>
    </row>
    <row r="477">
      <c r="L477" s="134" t="n"/>
      <c r="N477" s="134" t="n"/>
      <c r="P477" s="134" t="n"/>
      <c r="R477" s="134" t="n"/>
      <c r="T477" s="134" t="n"/>
      <c r="V477" s="134" t="n"/>
      <c r="X477" s="134" t="n"/>
    </row>
    <row r="478">
      <c r="L478" s="134" t="n"/>
      <c r="N478" s="134" t="n"/>
      <c r="P478" s="134" t="n"/>
      <c r="R478" s="134" t="n"/>
      <c r="T478" s="134" t="n"/>
      <c r="V478" s="134" t="n"/>
      <c r="X478" s="134" t="n"/>
    </row>
    <row r="479">
      <c r="L479" s="134" t="n"/>
      <c r="N479" s="134" t="n"/>
      <c r="P479" s="134" t="n"/>
      <c r="R479" s="134" t="n"/>
      <c r="T479" s="134" t="n"/>
      <c r="V479" s="134" t="n"/>
      <c r="X479" s="134" t="n"/>
    </row>
    <row r="480">
      <c r="L480" s="134" t="n"/>
      <c r="N480" s="134" t="n"/>
      <c r="P480" s="134" t="n"/>
      <c r="R480" s="134" t="n"/>
      <c r="T480" s="134" t="n"/>
      <c r="V480" s="134" t="n"/>
      <c r="X480" s="134" t="n"/>
    </row>
    <row r="481">
      <c r="L481" s="134" t="n"/>
      <c r="N481" s="134" t="n"/>
      <c r="P481" s="134" t="n"/>
      <c r="R481" s="134" t="n"/>
      <c r="T481" s="134" t="n"/>
      <c r="V481" s="134" t="n"/>
      <c r="X481" s="134" t="n"/>
    </row>
    <row r="482">
      <c r="L482" s="134" t="n"/>
      <c r="N482" s="134" t="n"/>
      <c r="P482" s="134" t="n"/>
      <c r="R482" s="134" t="n"/>
      <c r="T482" s="134" t="n"/>
      <c r="V482" s="134" t="n"/>
      <c r="X482" s="134" t="n"/>
    </row>
    <row r="483">
      <c r="L483" s="134" t="n"/>
      <c r="N483" s="134" t="n"/>
      <c r="P483" s="134" t="n"/>
      <c r="R483" s="134" t="n"/>
      <c r="T483" s="134" t="n"/>
      <c r="V483" s="134" t="n"/>
      <c r="X483" s="134" t="n"/>
    </row>
    <row r="484">
      <c r="L484" s="134" t="n"/>
      <c r="N484" s="134" t="n"/>
      <c r="P484" s="134" t="n"/>
      <c r="R484" s="134" t="n"/>
      <c r="T484" s="134" t="n"/>
      <c r="V484" s="134" t="n"/>
      <c r="X484" s="134" t="n"/>
    </row>
    <row r="485">
      <c r="L485" s="134" t="n"/>
      <c r="N485" s="134" t="n"/>
      <c r="P485" s="134" t="n"/>
      <c r="R485" s="134" t="n"/>
      <c r="T485" s="134" t="n"/>
      <c r="V485" s="134" t="n"/>
      <c r="X485" s="134" t="n"/>
    </row>
    <row r="486">
      <c r="L486" s="134" t="n"/>
      <c r="N486" s="134" t="n"/>
      <c r="P486" s="134" t="n"/>
      <c r="R486" s="134" t="n"/>
      <c r="T486" s="134" t="n"/>
      <c r="V486" s="134" t="n"/>
      <c r="X486" s="134" t="n"/>
    </row>
    <row r="487">
      <c r="L487" s="134" t="n"/>
      <c r="N487" s="134" t="n"/>
      <c r="P487" s="134" t="n"/>
      <c r="R487" s="134" t="n"/>
      <c r="T487" s="134" t="n"/>
      <c r="V487" s="134" t="n"/>
      <c r="X487" s="134" t="n"/>
    </row>
    <row r="488">
      <c r="L488" s="134" t="n"/>
      <c r="N488" s="134" t="n"/>
      <c r="P488" s="134" t="n"/>
      <c r="R488" s="134" t="n"/>
      <c r="T488" s="134" t="n"/>
      <c r="V488" s="134" t="n"/>
      <c r="X488" s="134" t="n"/>
    </row>
    <row r="489">
      <c r="L489" s="134" t="n"/>
      <c r="N489" s="134" t="n"/>
      <c r="P489" s="134" t="n"/>
      <c r="R489" s="134" t="n"/>
      <c r="T489" s="134" t="n"/>
      <c r="V489" s="134" t="n"/>
      <c r="X489" s="134" t="n"/>
    </row>
    <row r="490">
      <c r="L490" s="134" t="n"/>
      <c r="N490" s="134" t="n"/>
      <c r="P490" s="134" t="n"/>
      <c r="R490" s="134" t="n"/>
      <c r="T490" s="134" t="n"/>
      <c r="V490" s="134" t="n"/>
      <c r="X490" s="134" t="n"/>
    </row>
    <row r="491">
      <c r="L491" s="134" t="n"/>
      <c r="N491" s="134" t="n"/>
      <c r="P491" s="134" t="n"/>
      <c r="R491" s="134" t="n"/>
      <c r="T491" s="134" t="n"/>
      <c r="V491" s="134" t="n"/>
      <c r="X491" s="134" t="n"/>
    </row>
    <row r="492">
      <c r="L492" s="134" t="n"/>
      <c r="N492" s="134" t="n"/>
      <c r="P492" s="134" t="n"/>
      <c r="R492" s="134" t="n"/>
      <c r="T492" s="134" t="n"/>
      <c r="V492" s="134" t="n"/>
      <c r="X492" s="134" t="n"/>
    </row>
    <row r="493">
      <c r="L493" s="134" t="n"/>
      <c r="N493" s="134" t="n"/>
      <c r="P493" s="134" t="n"/>
      <c r="R493" s="134" t="n"/>
      <c r="T493" s="134" t="n"/>
      <c r="V493" s="134" t="n"/>
      <c r="X493" s="134" t="n"/>
    </row>
    <row r="494">
      <c r="L494" s="134" t="n"/>
      <c r="N494" s="134" t="n"/>
      <c r="P494" s="134" t="n"/>
      <c r="R494" s="134" t="n"/>
      <c r="T494" s="134" t="n"/>
      <c r="V494" s="134" t="n"/>
      <c r="X494" s="134" t="n"/>
    </row>
    <row r="495">
      <c r="L495" s="134" t="n"/>
      <c r="N495" s="134" t="n"/>
      <c r="P495" s="134" t="n"/>
      <c r="R495" s="134" t="n"/>
      <c r="T495" s="134" t="n"/>
      <c r="V495" s="134" t="n"/>
      <c r="X495" s="134" t="n"/>
    </row>
    <row r="496">
      <c r="L496" s="134" t="n"/>
      <c r="N496" s="134" t="n"/>
      <c r="P496" s="134" t="n"/>
      <c r="R496" s="134" t="n"/>
      <c r="T496" s="134" t="n"/>
      <c r="V496" s="134" t="n"/>
      <c r="X496" s="134" t="n"/>
    </row>
    <row r="497">
      <c r="L497" s="134" t="n"/>
      <c r="N497" s="134" t="n"/>
      <c r="P497" s="134" t="n"/>
      <c r="R497" s="134" t="n"/>
      <c r="T497" s="134" t="n"/>
      <c r="V497" s="134" t="n"/>
      <c r="X497" s="134" t="n"/>
    </row>
    <row r="498">
      <c r="L498" s="134" t="n"/>
      <c r="N498" s="134" t="n"/>
      <c r="P498" s="134" t="n"/>
      <c r="R498" s="134" t="n"/>
      <c r="T498" s="134" t="n"/>
      <c r="V498" s="134" t="n"/>
      <c r="X498" s="134" t="n"/>
    </row>
    <row r="499">
      <c r="L499" s="134" t="n"/>
      <c r="N499" s="134" t="n"/>
      <c r="P499" s="134" t="n"/>
      <c r="R499" s="134" t="n"/>
      <c r="T499" s="134" t="n"/>
      <c r="V499" s="134" t="n"/>
      <c r="X499" s="134" t="n"/>
    </row>
    <row r="500">
      <c r="L500" s="134" t="n"/>
      <c r="N500" s="134" t="n"/>
      <c r="P500" s="134" t="n"/>
      <c r="R500" s="134" t="n"/>
      <c r="T500" s="134" t="n"/>
      <c r="V500" s="134" t="n"/>
      <c r="X500" s="134" t="n"/>
    </row>
    <row r="501">
      <c r="L501" s="134" t="n"/>
      <c r="N501" s="134" t="n"/>
      <c r="P501" s="134" t="n"/>
      <c r="R501" s="134" t="n"/>
      <c r="T501" s="134" t="n"/>
      <c r="V501" s="134" t="n"/>
      <c r="X501" s="134" t="n"/>
    </row>
    <row r="502">
      <c r="L502" s="134" t="n"/>
      <c r="N502" s="134" t="n"/>
      <c r="P502" s="134" t="n"/>
      <c r="R502" s="134" t="n"/>
      <c r="T502" s="134" t="n"/>
      <c r="V502" s="134" t="n"/>
      <c r="X502" s="134" t="n"/>
    </row>
    <row r="503">
      <c r="L503" s="134" t="n"/>
      <c r="N503" s="134" t="n"/>
      <c r="P503" s="134" t="n"/>
      <c r="R503" s="134" t="n"/>
      <c r="T503" s="134" t="n"/>
      <c r="V503" s="134" t="n"/>
      <c r="X503" s="134" t="n"/>
    </row>
    <row r="504">
      <c r="L504" s="134" t="n"/>
      <c r="N504" s="134" t="n"/>
      <c r="P504" s="134" t="n"/>
      <c r="R504" s="134" t="n"/>
      <c r="T504" s="134" t="n"/>
      <c r="V504" s="134" t="n"/>
      <c r="X504" s="134" t="n"/>
    </row>
    <row r="505">
      <c r="L505" s="134" t="n"/>
      <c r="N505" s="134" t="n"/>
      <c r="P505" s="134" t="n"/>
      <c r="R505" s="134" t="n"/>
      <c r="T505" s="134" t="n"/>
      <c r="V505" s="134" t="n"/>
      <c r="X505" s="134" t="n"/>
    </row>
    <row r="506">
      <c r="L506" s="134" t="n"/>
      <c r="N506" s="134" t="n"/>
      <c r="P506" s="134" t="n"/>
      <c r="R506" s="134" t="n"/>
      <c r="T506" s="134" t="n"/>
      <c r="V506" s="134" t="n"/>
      <c r="X506" s="134" t="n"/>
    </row>
    <row r="507">
      <c r="L507" s="134" t="n"/>
      <c r="N507" s="134" t="n"/>
      <c r="P507" s="134" t="n"/>
      <c r="R507" s="134" t="n"/>
      <c r="T507" s="134" t="n"/>
      <c r="V507" s="134" t="n"/>
      <c r="X507" s="134" t="n"/>
    </row>
    <row r="508">
      <c r="L508" s="134" t="n"/>
      <c r="N508" s="134" t="n"/>
      <c r="P508" s="134" t="n"/>
      <c r="R508" s="134" t="n"/>
      <c r="T508" s="134" t="n"/>
      <c r="V508" s="134" t="n"/>
      <c r="X508" s="134" t="n"/>
    </row>
    <row r="509">
      <c r="L509" s="134" t="n"/>
      <c r="N509" s="134" t="n"/>
      <c r="P509" s="134" t="n"/>
      <c r="R509" s="134" t="n"/>
      <c r="T509" s="134" t="n"/>
      <c r="V509" s="134" t="n"/>
      <c r="X509" s="134" t="n"/>
    </row>
    <row r="510">
      <c r="L510" s="134" t="n"/>
      <c r="N510" s="134" t="n"/>
      <c r="P510" s="134" t="n"/>
      <c r="R510" s="134" t="n"/>
      <c r="T510" s="134" t="n"/>
      <c r="V510" s="134" t="n"/>
      <c r="X510" s="134" t="n"/>
    </row>
    <row r="511">
      <c r="L511" s="134" t="n"/>
      <c r="N511" s="134" t="n"/>
      <c r="P511" s="134" t="n"/>
      <c r="R511" s="134" t="n"/>
      <c r="T511" s="134" t="n"/>
      <c r="V511" s="134" t="n"/>
      <c r="X511" s="134" t="n"/>
    </row>
    <row r="512">
      <c r="L512" s="134" t="n"/>
      <c r="N512" s="134" t="n"/>
      <c r="P512" s="134" t="n"/>
      <c r="R512" s="134" t="n"/>
      <c r="T512" s="134" t="n"/>
      <c r="V512" s="134" t="n"/>
      <c r="X512" s="134" t="n"/>
    </row>
    <row r="513">
      <c r="L513" s="134" t="n"/>
      <c r="N513" s="134" t="n"/>
      <c r="P513" s="134" t="n"/>
      <c r="R513" s="134" t="n"/>
      <c r="T513" s="134" t="n"/>
      <c r="V513" s="134" t="n"/>
      <c r="X513" s="134" t="n"/>
    </row>
    <row r="514">
      <c r="L514" s="134" t="n"/>
      <c r="N514" s="134" t="n"/>
      <c r="P514" s="134" t="n"/>
      <c r="R514" s="134" t="n"/>
      <c r="T514" s="134" t="n"/>
      <c r="V514" s="134" t="n"/>
      <c r="X514" s="134" t="n"/>
    </row>
    <row r="515">
      <c r="L515" s="134" t="n"/>
      <c r="N515" s="134" t="n"/>
      <c r="P515" s="134" t="n"/>
      <c r="R515" s="134" t="n"/>
      <c r="T515" s="134" t="n"/>
      <c r="V515" s="134" t="n"/>
      <c r="X515" s="134" t="n"/>
    </row>
    <row r="516">
      <c r="L516" s="134" t="n"/>
      <c r="N516" s="134" t="n"/>
      <c r="P516" s="134" t="n"/>
      <c r="R516" s="134" t="n"/>
      <c r="T516" s="134" t="n"/>
      <c r="V516" s="134" t="n"/>
      <c r="X516" s="134" t="n"/>
    </row>
    <row r="517">
      <c r="L517" s="134" t="n"/>
      <c r="N517" s="134" t="n"/>
      <c r="P517" s="134" t="n"/>
      <c r="R517" s="134" t="n"/>
      <c r="T517" s="134" t="n"/>
      <c r="V517" s="134" t="n"/>
      <c r="X517" s="134" t="n"/>
    </row>
    <row r="518">
      <c r="L518" s="134" t="n"/>
      <c r="N518" s="134" t="n"/>
      <c r="P518" s="134" t="n"/>
      <c r="R518" s="134" t="n"/>
      <c r="T518" s="134" t="n"/>
      <c r="V518" s="134" t="n"/>
      <c r="X518" s="134" t="n"/>
    </row>
    <row r="519">
      <c r="L519" s="134" t="n"/>
      <c r="N519" s="134" t="n"/>
      <c r="P519" s="134" t="n"/>
      <c r="R519" s="134" t="n"/>
      <c r="T519" s="134" t="n"/>
      <c r="V519" s="134" t="n"/>
      <c r="X519" s="134" t="n"/>
    </row>
    <row r="520">
      <c r="L520" s="134" t="n"/>
      <c r="N520" s="134" t="n"/>
      <c r="P520" s="134" t="n"/>
      <c r="R520" s="134" t="n"/>
      <c r="T520" s="134" t="n"/>
      <c r="V520" s="134" t="n"/>
      <c r="X520" s="134" t="n"/>
    </row>
    <row r="521">
      <c r="L521" s="134" t="n"/>
      <c r="N521" s="134" t="n"/>
      <c r="P521" s="134" t="n"/>
      <c r="R521" s="134" t="n"/>
      <c r="T521" s="134" t="n"/>
      <c r="V521" s="134" t="n"/>
      <c r="X521" s="134" t="n"/>
    </row>
    <row r="522">
      <c r="L522" s="134" t="n"/>
      <c r="N522" s="134" t="n"/>
      <c r="P522" s="134" t="n"/>
      <c r="R522" s="134" t="n"/>
      <c r="T522" s="134" t="n"/>
      <c r="V522" s="134" t="n"/>
      <c r="X522" s="134" t="n"/>
    </row>
    <row r="523">
      <c r="L523" s="134" t="n"/>
      <c r="N523" s="134" t="n"/>
      <c r="P523" s="134" t="n"/>
      <c r="R523" s="134" t="n"/>
      <c r="T523" s="134" t="n"/>
      <c r="V523" s="134" t="n"/>
      <c r="X523" s="134" t="n"/>
    </row>
    <row r="524">
      <c r="L524" s="134" t="n"/>
      <c r="N524" s="134" t="n"/>
      <c r="P524" s="134" t="n"/>
      <c r="R524" s="134" t="n"/>
      <c r="T524" s="134" t="n"/>
      <c r="V524" s="134" t="n"/>
      <c r="X524" s="134" t="n"/>
    </row>
    <row r="525">
      <c r="L525" s="134" t="n"/>
      <c r="N525" s="134" t="n"/>
      <c r="P525" s="134" t="n"/>
      <c r="R525" s="134" t="n"/>
      <c r="T525" s="134" t="n"/>
      <c r="V525" s="134" t="n"/>
      <c r="X525" s="134" t="n"/>
    </row>
    <row r="526">
      <c r="L526" s="134" t="n"/>
      <c r="N526" s="134" t="n"/>
      <c r="P526" s="134" t="n"/>
      <c r="R526" s="134" t="n"/>
      <c r="T526" s="134" t="n"/>
      <c r="V526" s="134" t="n"/>
      <c r="X526" s="134" t="n"/>
    </row>
    <row r="527">
      <c r="L527" s="134" t="n"/>
      <c r="N527" s="134" t="n"/>
      <c r="P527" s="134" t="n"/>
      <c r="R527" s="134" t="n"/>
      <c r="T527" s="134" t="n"/>
      <c r="V527" s="134" t="n"/>
      <c r="X527" s="134" t="n"/>
    </row>
    <row r="528">
      <c r="L528" s="134" t="n"/>
      <c r="N528" s="134" t="n"/>
      <c r="P528" s="134" t="n"/>
      <c r="R528" s="134" t="n"/>
      <c r="T528" s="134" t="n"/>
      <c r="V528" s="134" t="n"/>
      <c r="X528" s="134" t="n"/>
    </row>
    <row r="529">
      <c r="L529" s="134" t="n"/>
      <c r="N529" s="134" t="n"/>
      <c r="P529" s="134" t="n"/>
      <c r="R529" s="134" t="n"/>
      <c r="T529" s="134" t="n"/>
      <c r="V529" s="134" t="n"/>
      <c r="X529" s="134" t="n"/>
    </row>
    <row r="530">
      <c r="L530" s="134" t="n"/>
      <c r="N530" s="134" t="n"/>
      <c r="P530" s="134" t="n"/>
      <c r="R530" s="134" t="n"/>
      <c r="T530" s="134" t="n"/>
      <c r="V530" s="134" t="n"/>
      <c r="X530" s="134" t="n"/>
    </row>
    <row r="531">
      <c r="L531" s="134" t="n"/>
      <c r="N531" s="134" t="n"/>
      <c r="P531" s="134" t="n"/>
      <c r="R531" s="134" t="n"/>
      <c r="T531" s="134" t="n"/>
      <c r="V531" s="134" t="n"/>
      <c r="X531" s="134" t="n"/>
    </row>
    <row r="532">
      <c r="L532" s="134" t="n"/>
      <c r="N532" s="134" t="n"/>
      <c r="P532" s="134" t="n"/>
      <c r="R532" s="134" t="n"/>
      <c r="T532" s="134" t="n"/>
      <c r="V532" s="134" t="n"/>
      <c r="X532" s="134" t="n"/>
    </row>
    <row r="533">
      <c r="L533" s="134" t="n"/>
      <c r="N533" s="134" t="n"/>
      <c r="P533" s="134" t="n"/>
      <c r="R533" s="134" t="n"/>
      <c r="T533" s="134" t="n"/>
      <c r="V533" s="134" t="n"/>
      <c r="X533" s="134" t="n"/>
    </row>
    <row r="534">
      <c r="L534" s="134" t="n"/>
      <c r="N534" s="134" t="n"/>
      <c r="P534" s="134" t="n"/>
      <c r="R534" s="134" t="n"/>
      <c r="T534" s="134" t="n"/>
      <c r="V534" s="134" t="n"/>
      <c r="X534" s="134" t="n"/>
    </row>
    <row r="535">
      <c r="L535" s="134" t="n"/>
      <c r="N535" s="134" t="n"/>
      <c r="P535" s="134" t="n"/>
      <c r="R535" s="134" t="n"/>
      <c r="T535" s="134" t="n"/>
      <c r="V535" s="134" t="n"/>
      <c r="X535" s="134" t="n"/>
    </row>
    <row r="536">
      <c r="L536" s="134" t="n"/>
      <c r="N536" s="134" t="n"/>
      <c r="P536" s="134" t="n"/>
      <c r="R536" s="134" t="n"/>
      <c r="T536" s="134" t="n"/>
      <c r="V536" s="134" t="n"/>
      <c r="X536" s="134" t="n"/>
    </row>
    <row r="537">
      <c r="L537" s="134" t="n"/>
      <c r="N537" s="134" t="n"/>
      <c r="P537" s="134" t="n"/>
      <c r="R537" s="134" t="n"/>
      <c r="T537" s="134" t="n"/>
      <c r="V537" s="134" t="n"/>
      <c r="X537" s="134" t="n"/>
    </row>
    <row r="538">
      <c r="L538" s="134" t="n"/>
      <c r="N538" s="134" t="n"/>
      <c r="P538" s="134" t="n"/>
      <c r="R538" s="134" t="n"/>
      <c r="T538" s="134" t="n"/>
      <c r="V538" s="134" t="n"/>
      <c r="X538" s="134" t="n"/>
    </row>
    <row r="539">
      <c r="L539" s="134" t="n"/>
      <c r="N539" s="134" t="n"/>
      <c r="P539" s="134" t="n"/>
      <c r="R539" s="134" t="n"/>
      <c r="T539" s="134" t="n"/>
      <c r="V539" s="134" t="n"/>
      <c r="X539" s="134" t="n"/>
    </row>
    <row r="540">
      <c r="L540" s="134" t="n"/>
      <c r="N540" s="134" t="n"/>
      <c r="P540" s="134" t="n"/>
      <c r="R540" s="134" t="n"/>
      <c r="T540" s="134" t="n"/>
      <c r="V540" s="134" t="n"/>
      <c r="X540" s="134" t="n"/>
    </row>
    <row r="541">
      <c r="L541" s="134" t="n"/>
      <c r="N541" s="134" t="n"/>
      <c r="P541" s="134" t="n"/>
      <c r="R541" s="134" t="n"/>
      <c r="T541" s="134" t="n"/>
      <c r="V541" s="134" t="n"/>
      <c r="X541" s="134" t="n"/>
    </row>
    <row r="542">
      <c r="L542" s="134" t="n"/>
      <c r="N542" s="134" t="n"/>
      <c r="P542" s="134" t="n"/>
      <c r="R542" s="134" t="n"/>
      <c r="T542" s="134" t="n"/>
      <c r="V542" s="134" t="n"/>
      <c r="X542" s="134" t="n"/>
    </row>
    <row r="543">
      <c r="L543" s="134" t="n"/>
      <c r="N543" s="134" t="n"/>
      <c r="P543" s="134" t="n"/>
      <c r="R543" s="134" t="n"/>
      <c r="T543" s="134" t="n"/>
      <c r="V543" s="134" t="n"/>
      <c r="X543" s="134" t="n"/>
    </row>
    <row r="544">
      <c r="L544" s="134" t="n"/>
      <c r="N544" s="134" t="n"/>
      <c r="P544" s="134" t="n"/>
      <c r="R544" s="134" t="n"/>
      <c r="T544" s="134" t="n"/>
      <c r="V544" s="134" t="n"/>
      <c r="X544" s="134" t="n"/>
    </row>
    <row r="545">
      <c r="L545" s="134" t="n"/>
      <c r="N545" s="134" t="n"/>
      <c r="P545" s="134" t="n"/>
      <c r="R545" s="134" t="n"/>
      <c r="T545" s="134" t="n"/>
      <c r="V545" s="134" t="n"/>
      <c r="X545" s="134" t="n"/>
    </row>
    <row r="546">
      <c r="L546" s="134" t="n"/>
      <c r="N546" s="134" t="n"/>
      <c r="P546" s="134" t="n"/>
      <c r="R546" s="134" t="n"/>
      <c r="T546" s="134" t="n"/>
      <c r="V546" s="134" t="n"/>
      <c r="X546" s="134" t="n"/>
    </row>
    <row r="547">
      <c r="L547" s="134" t="n"/>
      <c r="N547" s="134" t="n"/>
      <c r="P547" s="134" t="n"/>
      <c r="R547" s="134" t="n"/>
      <c r="T547" s="134" t="n"/>
      <c r="V547" s="134" t="n"/>
      <c r="X547" s="134" t="n"/>
    </row>
    <row r="548">
      <c r="L548" s="134" t="n"/>
      <c r="N548" s="134" t="n"/>
      <c r="P548" s="134" t="n"/>
      <c r="R548" s="134" t="n"/>
      <c r="T548" s="134" t="n"/>
      <c r="V548" s="134" t="n"/>
      <c r="X548" s="134" t="n"/>
    </row>
    <row r="549">
      <c r="L549" s="134" t="n"/>
      <c r="N549" s="134" t="n"/>
      <c r="P549" s="134" t="n"/>
      <c r="R549" s="134" t="n"/>
      <c r="T549" s="134" t="n"/>
      <c r="V549" s="134" t="n"/>
      <c r="X549" s="134" t="n"/>
    </row>
    <row r="550">
      <c r="L550" s="134" t="n"/>
      <c r="N550" s="134" t="n"/>
      <c r="P550" s="134" t="n"/>
      <c r="R550" s="134" t="n"/>
      <c r="T550" s="134" t="n"/>
      <c r="V550" s="134" t="n"/>
      <c r="X550" s="134" t="n"/>
    </row>
    <row r="551">
      <c r="L551" s="134" t="n"/>
      <c r="N551" s="134" t="n"/>
      <c r="P551" s="134" t="n"/>
      <c r="R551" s="134" t="n"/>
      <c r="T551" s="134" t="n"/>
      <c r="V551" s="134" t="n"/>
      <c r="X551" s="134" t="n"/>
    </row>
    <row r="552">
      <c r="L552" s="134" t="n"/>
      <c r="N552" s="134" t="n"/>
      <c r="P552" s="134" t="n"/>
      <c r="R552" s="134" t="n"/>
      <c r="T552" s="134" t="n"/>
      <c r="V552" s="134" t="n"/>
      <c r="X552" s="134" t="n"/>
    </row>
    <row r="553">
      <c r="L553" s="134" t="n"/>
      <c r="N553" s="134" t="n"/>
      <c r="P553" s="134" t="n"/>
      <c r="R553" s="134" t="n"/>
      <c r="T553" s="134" t="n"/>
      <c r="V553" s="134" t="n"/>
      <c r="X553" s="134" t="n"/>
    </row>
    <row r="554">
      <c r="L554" s="134" t="n"/>
      <c r="N554" s="134" t="n"/>
      <c r="P554" s="134" t="n"/>
      <c r="R554" s="134" t="n"/>
      <c r="T554" s="134" t="n"/>
      <c r="V554" s="134" t="n"/>
      <c r="X554" s="134" t="n"/>
    </row>
    <row r="555">
      <c r="L555" s="134" t="n"/>
      <c r="N555" s="134" t="n"/>
      <c r="P555" s="134" t="n"/>
      <c r="R555" s="134" t="n"/>
      <c r="T555" s="134" t="n"/>
      <c r="V555" s="134" t="n"/>
      <c r="X555" s="134" t="n"/>
    </row>
    <row r="556">
      <c r="L556" s="134" t="n"/>
      <c r="N556" s="134" t="n"/>
      <c r="P556" s="134" t="n"/>
      <c r="R556" s="134" t="n"/>
      <c r="T556" s="134" t="n"/>
      <c r="V556" s="134" t="n"/>
      <c r="X556" s="134" t="n"/>
    </row>
    <row r="557">
      <c r="L557" s="134" t="n"/>
      <c r="N557" s="134" t="n"/>
      <c r="P557" s="134" t="n"/>
      <c r="R557" s="134" t="n"/>
      <c r="T557" s="134" t="n"/>
      <c r="V557" s="134" t="n"/>
      <c r="X557" s="134" t="n"/>
    </row>
    <row r="558">
      <c r="L558" s="134" t="n"/>
      <c r="N558" s="134" t="n"/>
      <c r="P558" s="134" t="n"/>
      <c r="R558" s="134" t="n"/>
      <c r="T558" s="134" t="n"/>
      <c r="V558" s="134" t="n"/>
      <c r="X558" s="134" t="n"/>
    </row>
    <row r="559">
      <c r="L559" s="134" t="n"/>
      <c r="N559" s="134" t="n"/>
      <c r="P559" s="134" t="n"/>
      <c r="R559" s="134" t="n"/>
      <c r="T559" s="134" t="n"/>
      <c r="V559" s="134" t="n"/>
      <c r="X559" s="134" t="n"/>
    </row>
    <row r="560">
      <c r="L560" s="134" t="n"/>
      <c r="N560" s="134" t="n"/>
      <c r="P560" s="134" t="n"/>
      <c r="R560" s="134" t="n"/>
      <c r="T560" s="134" t="n"/>
      <c r="V560" s="134" t="n"/>
      <c r="X560" s="134" t="n"/>
    </row>
    <row r="561">
      <c r="L561" s="134" t="n"/>
      <c r="N561" s="134" t="n"/>
      <c r="P561" s="134" t="n"/>
      <c r="R561" s="134" t="n"/>
      <c r="T561" s="134" t="n"/>
      <c r="V561" s="134" t="n"/>
      <c r="X561" s="134" t="n"/>
    </row>
    <row r="562">
      <c r="L562" s="134" t="n"/>
      <c r="N562" s="134" t="n"/>
      <c r="P562" s="134" t="n"/>
      <c r="R562" s="134" t="n"/>
      <c r="T562" s="134" t="n"/>
      <c r="V562" s="134" t="n"/>
      <c r="X562" s="134" t="n"/>
    </row>
    <row r="563">
      <c r="L563" s="134" t="n"/>
      <c r="N563" s="134" t="n"/>
      <c r="P563" s="134" t="n"/>
      <c r="R563" s="134" t="n"/>
      <c r="T563" s="134" t="n"/>
      <c r="V563" s="134" t="n"/>
      <c r="X563" s="134" t="n"/>
    </row>
    <row r="564">
      <c r="L564" s="134" t="n"/>
      <c r="N564" s="134" t="n"/>
      <c r="P564" s="134" t="n"/>
      <c r="R564" s="134" t="n"/>
      <c r="T564" s="134" t="n"/>
      <c r="V564" s="134" t="n"/>
      <c r="X564" s="134" t="n"/>
    </row>
    <row r="565">
      <c r="L565" s="134" t="n"/>
      <c r="N565" s="134" t="n"/>
      <c r="P565" s="134" t="n"/>
      <c r="R565" s="134" t="n"/>
      <c r="T565" s="134" t="n"/>
      <c r="V565" s="134" t="n"/>
      <c r="X565" s="134" t="n"/>
    </row>
    <row r="566">
      <c r="L566" s="134" t="n"/>
      <c r="N566" s="134" t="n"/>
      <c r="P566" s="134" t="n"/>
      <c r="R566" s="134" t="n"/>
      <c r="T566" s="134" t="n"/>
      <c r="V566" s="134" t="n"/>
      <c r="X566" s="134" t="n"/>
    </row>
    <row r="567">
      <c r="L567" s="134" t="n"/>
      <c r="N567" s="134" t="n"/>
      <c r="P567" s="134" t="n"/>
      <c r="R567" s="134" t="n"/>
      <c r="T567" s="134" t="n"/>
      <c r="V567" s="134" t="n"/>
      <c r="X567" s="134" t="n"/>
    </row>
    <row r="568">
      <c r="L568" s="134" t="n"/>
      <c r="N568" s="134" t="n"/>
      <c r="P568" s="134" t="n"/>
      <c r="R568" s="134" t="n"/>
      <c r="T568" s="134" t="n"/>
      <c r="V568" s="134" t="n"/>
      <c r="X568" s="134" t="n"/>
    </row>
    <row r="569">
      <c r="L569" s="134" t="n"/>
      <c r="N569" s="134" t="n"/>
      <c r="P569" s="134" t="n"/>
      <c r="R569" s="134" t="n"/>
      <c r="T569" s="134" t="n"/>
      <c r="V569" s="134" t="n"/>
      <c r="X569" s="134" t="n"/>
    </row>
    <row r="570">
      <c r="L570" s="134" t="n"/>
      <c r="N570" s="134" t="n"/>
      <c r="P570" s="134" t="n"/>
      <c r="R570" s="134" t="n"/>
      <c r="T570" s="134" t="n"/>
      <c r="V570" s="134" t="n"/>
      <c r="X570" s="134" t="n"/>
    </row>
    <row r="571">
      <c r="L571" s="134" t="n"/>
      <c r="N571" s="134" t="n"/>
      <c r="P571" s="134" t="n"/>
      <c r="R571" s="134" t="n"/>
      <c r="T571" s="134" t="n"/>
      <c r="V571" s="134" t="n"/>
      <c r="X571" s="134" t="n"/>
    </row>
    <row r="572">
      <c r="L572" s="134" t="n"/>
      <c r="N572" s="134" t="n"/>
      <c r="P572" s="134" t="n"/>
      <c r="R572" s="134" t="n"/>
      <c r="T572" s="134" t="n"/>
      <c r="V572" s="134" t="n"/>
      <c r="X572" s="134" t="n"/>
    </row>
    <row r="573">
      <c r="L573" s="134" t="n"/>
      <c r="N573" s="134" t="n"/>
      <c r="P573" s="134" t="n"/>
      <c r="R573" s="134" t="n"/>
      <c r="T573" s="134" t="n"/>
      <c r="V573" s="134" t="n"/>
      <c r="X573" s="134" t="n"/>
    </row>
    <row r="574">
      <c r="L574" s="134" t="n"/>
      <c r="N574" s="134" t="n"/>
      <c r="P574" s="134" t="n"/>
      <c r="R574" s="134" t="n"/>
      <c r="T574" s="134" t="n"/>
      <c r="V574" s="134" t="n"/>
      <c r="X574" s="134" t="n"/>
    </row>
    <row r="575">
      <c r="L575" s="134" t="n"/>
      <c r="N575" s="134" t="n"/>
      <c r="P575" s="134" t="n"/>
      <c r="R575" s="134" t="n"/>
      <c r="T575" s="134" t="n"/>
      <c r="V575" s="134" t="n"/>
      <c r="X575" s="134" t="n"/>
    </row>
    <row r="576">
      <c r="L576" s="134" t="n"/>
      <c r="N576" s="134" t="n"/>
      <c r="P576" s="134" t="n"/>
      <c r="R576" s="134" t="n"/>
      <c r="T576" s="134" t="n"/>
      <c r="V576" s="134" t="n"/>
      <c r="X576" s="134" t="n"/>
    </row>
    <row r="577">
      <c r="L577" s="134" t="n"/>
      <c r="N577" s="134" t="n"/>
      <c r="P577" s="134" t="n"/>
      <c r="R577" s="134" t="n"/>
      <c r="T577" s="134" t="n"/>
      <c r="V577" s="134" t="n"/>
      <c r="X577" s="134" t="n"/>
    </row>
    <row r="578">
      <c r="L578" s="134" t="n"/>
      <c r="N578" s="134" t="n"/>
      <c r="P578" s="134" t="n"/>
      <c r="R578" s="134" t="n"/>
      <c r="T578" s="134" t="n"/>
      <c r="V578" s="134" t="n"/>
      <c r="X578" s="134" t="n"/>
    </row>
    <row r="579">
      <c r="L579" s="134" t="n"/>
      <c r="N579" s="134" t="n"/>
      <c r="P579" s="134" t="n"/>
      <c r="R579" s="134" t="n"/>
      <c r="T579" s="134" t="n"/>
      <c r="V579" s="134" t="n"/>
      <c r="X579" s="134" t="n"/>
    </row>
    <row r="580">
      <c r="L580" s="134" t="n"/>
      <c r="N580" s="134" t="n"/>
      <c r="P580" s="134" t="n"/>
      <c r="R580" s="134" t="n"/>
      <c r="T580" s="134" t="n"/>
      <c r="V580" s="134" t="n"/>
      <c r="X580" s="134" t="n"/>
    </row>
    <row r="581">
      <c r="L581" s="134" t="n"/>
      <c r="N581" s="134" t="n"/>
      <c r="P581" s="134" t="n"/>
      <c r="R581" s="134" t="n"/>
      <c r="T581" s="134" t="n"/>
      <c r="V581" s="134" t="n"/>
      <c r="X581" s="134" t="n"/>
    </row>
    <row r="582">
      <c r="L582" s="134" t="n"/>
      <c r="N582" s="134" t="n"/>
      <c r="P582" s="134" t="n"/>
      <c r="R582" s="134" t="n"/>
      <c r="T582" s="134" t="n"/>
      <c r="V582" s="134" t="n"/>
      <c r="X582" s="134" t="n"/>
    </row>
    <row r="583">
      <c r="L583" s="134" t="n"/>
      <c r="N583" s="134" t="n"/>
      <c r="P583" s="134" t="n"/>
      <c r="R583" s="134" t="n"/>
      <c r="T583" s="134" t="n"/>
      <c r="V583" s="134" t="n"/>
      <c r="X583" s="134" t="n"/>
    </row>
    <row r="584">
      <c r="L584" s="134" t="n"/>
      <c r="N584" s="134" t="n"/>
      <c r="P584" s="134" t="n"/>
      <c r="R584" s="134" t="n"/>
      <c r="T584" s="134" t="n"/>
      <c r="V584" s="134" t="n"/>
      <c r="X584" s="134" t="n"/>
    </row>
    <row r="585">
      <c r="L585" s="134" t="n"/>
      <c r="N585" s="134" t="n"/>
      <c r="P585" s="134" t="n"/>
      <c r="R585" s="134" t="n"/>
      <c r="T585" s="134" t="n"/>
      <c r="V585" s="134" t="n"/>
      <c r="X585" s="134" t="n"/>
    </row>
    <row r="586">
      <c r="L586" s="134" t="n"/>
      <c r="N586" s="134" t="n"/>
      <c r="P586" s="134" t="n"/>
      <c r="R586" s="134" t="n"/>
      <c r="T586" s="134" t="n"/>
      <c r="V586" s="134" t="n"/>
      <c r="X586" s="134" t="n"/>
    </row>
    <row r="587">
      <c r="L587" s="134" t="n"/>
      <c r="N587" s="134" t="n"/>
      <c r="P587" s="134" t="n"/>
      <c r="R587" s="134" t="n"/>
      <c r="T587" s="134" t="n"/>
      <c r="V587" s="134" t="n"/>
      <c r="X587" s="134" t="n"/>
    </row>
    <row r="588">
      <c r="L588" s="134" t="n"/>
      <c r="N588" s="134" t="n"/>
      <c r="P588" s="134" t="n"/>
      <c r="R588" s="134" t="n"/>
      <c r="T588" s="134" t="n"/>
      <c r="V588" s="134" t="n"/>
      <c r="X588" s="134" t="n"/>
    </row>
    <row r="589">
      <c r="L589" s="134" t="n"/>
      <c r="N589" s="134" t="n"/>
      <c r="P589" s="134" t="n"/>
      <c r="R589" s="134" t="n"/>
      <c r="T589" s="134" t="n"/>
      <c r="V589" s="134" t="n"/>
      <c r="X589" s="134" t="n"/>
    </row>
    <row r="590">
      <c r="L590" s="134" t="n"/>
      <c r="N590" s="134" t="n"/>
      <c r="P590" s="134" t="n"/>
      <c r="R590" s="134" t="n"/>
      <c r="T590" s="134" t="n"/>
      <c r="V590" s="134" t="n"/>
      <c r="X590" s="134" t="n"/>
    </row>
    <row r="591">
      <c r="L591" s="134" t="n"/>
      <c r="N591" s="134" t="n"/>
      <c r="P591" s="134" t="n"/>
      <c r="R591" s="134" t="n"/>
      <c r="T591" s="134" t="n"/>
      <c r="V591" s="134" t="n"/>
      <c r="X591" s="134" t="n"/>
    </row>
    <row r="592">
      <c r="L592" s="134" t="n"/>
      <c r="N592" s="134" t="n"/>
      <c r="P592" s="134" t="n"/>
      <c r="R592" s="134" t="n"/>
      <c r="T592" s="134" t="n"/>
      <c r="V592" s="134" t="n"/>
      <c r="X592" s="134" t="n"/>
    </row>
    <row r="593">
      <c r="L593" s="134" t="n"/>
      <c r="N593" s="134" t="n"/>
      <c r="P593" s="134" t="n"/>
      <c r="R593" s="134" t="n"/>
      <c r="T593" s="134" t="n"/>
      <c r="V593" s="134" t="n"/>
      <c r="X593" s="134" t="n"/>
    </row>
    <row r="594">
      <c r="L594" s="134" t="n"/>
      <c r="N594" s="134" t="n"/>
      <c r="P594" s="134" t="n"/>
      <c r="R594" s="134" t="n"/>
      <c r="T594" s="134" t="n"/>
      <c r="V594" s="134" t="n"/>
      <c r="X594" s="134" t="n"/>
    </row>
    <row r="595">
      <c r="L595" s="134" t="n"/>
      <c r="N595" s="134" t="n"/>
      <c r="P595" s="134" t="n"/>
      <c r="R595" s="134" t="n"/>
      <c r="T595" s="134" t="n"/>
      <c r="V595" s="134" t="n"/>
      <c r="X595" s="134" t="n"/>
    </row>
    <row r="596">
      <c r="L596" s="134" t="n"/>
      <c r="N596" s="134" t="n"/>
      <c r="P596" s="134" t="n"/>
      <c r="R596" s="134" t="n"/>
      <c r="T596" s="134" t="n"/>
      <c r="V596" s="134" t="n"/>
      <c r="X596" s="134" t="n"/>
    </row>
    <row r="597">
      <c r="L597" s="134" t="n"/>
      <c r="N597" s="134" t="n"/>
      <c r="P597" s="134" t="n"/>
      <c r="R597" s="134" t="n"/>
      <c r="T597" s="134" t="n"/>
      <c r="V597" s="134" t="n"/>
      <c r="X597" s="134" t="n"/>
    </row>
    <row r="598">
      <c r="L598" s="134" t="n"/>
      <c r="N598" s="134" t="n"/>
      <c r="P598" s="134" t="n"/>
      <c r="R598" s="134" t="n"/>
      <c r="T598" s="134" t="n"/>
      <c r="V598" s="134" t="n"/>
      <c r="X598" s="134" t="n"/>
    </row>
    <row r="599">
      <c r="L599" s="134" t="n"/>
      <c r="N599" s="134" t="n"/>
      <c r="P599" s="134" t="n"/>
      <c r="R599" s="134" t="n"/>
      <c r="T599" s="134" t="n"/>
      <c r="V599" s="134" t="n"/>
      <c r="X599" s="134" t="n"/>
    </row>
    <row r="600">
      <c r="L600" s="134" t="n"/>
      <c r="N600" s="134" t="n"/>
      <c r="P600" s="134" t="n"/>
      <c r="R600" s="134" t="n"/>
      <c r="T600" s="134" t="n"/>
      <c r="V600" s="134" t="n"/>
      <c r="X600" s="134" t="n"/>
    </row>
    <row r="601">
      <c r="L601" s="134" t="n"/>
      <c r="N601" s="134" t="n"/>
      <c r="P601" s="134" t="n"/>
      <c r="R601" s="134" t="n"/>
      <c r="T601" s="134" t="n"/>
      <c r="V601" s="134" t="n"/>
      <c r="X601" s="134" t="n"/>
    </row>
    <row r="602">
      <c r="L602" s="134" t="n"/>
      <c r="N602" s="134" t="n"/>
      <c r="P602" s="134" t="n"/>
      <c r="R602" s="134" t="n"/>
      <c r="T602" s="134" t="n"/>
      <c r="V602" s="134" t="n"/>
      <c r="X602" s="134" t="n"/>
    </row>
    <row r="603">
      <c r="L603" s="134" t="n"/>
      <c r="N603" s="134" t="n"/>
      <c r="P603" s="134" t="n"/>
      <c r="R603" s="134" t="n"/>
      <c r="T603" s="134" t="n"/>
      <c r="V603" s="134" t="n"/>
      <c r="X603" s="134" t="n"/>
    </row>
    <row r="604">
      <c r="L604" s="134" t="n"/>
      <c r="N604" s="134" t="n"/>
      <c r="P604" s="134" t="n"/>
      <c r="R604" s="134" t="n"/>
      <c r="T604" s="134" t="n"/>
      <c r="V604" s="134" t="n"/>
      <c r="X604" s="134" t="n"/>
    </row>
    <row r="605">
      <c r="L605" s="134" t="n"/>
      <c r="N605" s="134" t="n"/>
      <c r="P605" s="134" t="n"/>
      <c r="R605" s="134" t="n"/>
      <c r="T605" s="134" t="n"/>
      <c r="V605" s="134" t="n"/>
      <c r="X605" s="134" t="n"/>
    </row>
    <row r="606">
      <c r="L606" s="134" t="n"/>
      <c r="N606" s="134" t="n"/>
      <c r="P606" s="134" t="n"/>
      <c r="R606" s="134" t="n"/>
      <c r="T606" s="134" t="n"/>
      <c r="V606" s="134" t="n"/>
      <c r="X606" s="134" t="n"/>
    </row>
    <row r="607">
      <c r="L607" s="134" t="n"/>
      <c r="N607" s="134" t="n"/>
      <c r="P607" s="134" t="n"/>
      <c r="R607" s="134" t="n"/>
      <c r="T607" s="134" t="n"/>
      <c r="V607" s="134" t="n"/>
      <c r="X607" s="134" t="n"/>
    </row>
    <row r="608">
      <c r="L608" s="134" t="n"/>
      <c r="N608" s="134" t="n"/>
      <c r="P608" s="134" t="n"/>
      <c r="R608" s="134" t="n"/>
      <c r="T608" s="134" t="n"/>
      <c r="V608" s="134" t="n"/>
      <c r="X608" s="134" t="n"/>
    </row>
    <row r="609">
      <c r="L609" s="134" t="n"/>
      <c r="N609" s="134" t="n"/>
      <c r="P609" s="134" t="n"/>
      <c r="R609" s="134" t="n"/>
      <c r="T609" s="134" t="n"/>
      <c r="V609" s="134" t="n"/>
      <c r="X609" s="134" t="n"/>
    </row>
    <row r="610">
      <c r="L610" s="134" t="n"/>
      <c r="N610" s="134" t="n"/>
      <c r="P610" s="134" t="n"/>
      <c r="R610" s="134" t="n"/>
      <c r="T610" s="134" t="n"/>
      <c r="V610" s="134" t="n"/>
      <c r="X610" s="134" t="n"/>
    </row>
    <row r="611">
      <c r="L611" s="134" t="n"/>
      <c r="N611" s="134" t="n"/>
      <c r="P611" s="134" t="n"/>
      <c r="R611" s="134" t="n"/>
      <c r="T611" s="134" t="n"/>
      <c r="V611" s="134" t="n"/>
      <c r="X611" s="134" t="n"/>
    </row>
    <row r="612">
      <c r="L612" s="134" t="n"/>
      <c r="N612" s="134" t="n"/>
      <c r="P612" s="134" t="n"/>
      <c r="R612" s="134" t="n"/>
      <c r="T612" s="134" t="n"/>
      <c r="V612" s="134" t="n"/>
      <c r="X612" s="134" t="n"/>
    </row>
    <row r="613">
      <c r="L613" s="134" t="n"/>
      <c r="N613" s="134" t="n"/>
      <c r="P613" s="134" t="n"/>
      <c r="R613" s="134" t="n"/>
      <c r="T613" s="134" t="n"/>
      <c r="V613" s="134" t="n"/>
      <c r="X613" s="134" t="n"/>
    </row>
    <row r="614">
      <c r="L614" s="134" t="n"/>
      <c r="N614" s="134" t="n"/>
      <c r="P614" s="134" t="n"/>
      <c r="R614" s="134" t="n"/>
      <c r="T614" s="134" t="n"/>
      <c r="V614" s="134" t="n"/>
      <c r="X614" s="134" t="n"/>
    </row>
    <row r="615">
      <c r="L615" s="134" t="n"/>
      <c r="N615" s="134" t="n"/>
      <c r="P615" s="134" t="n"/>
      <c r="R615" s="134" t="n"/>
      <c r="T615" s="134" t="n"/>
      <c r="V615" s="134" t="n"/>
      <c r="X615" s="134" t="n"/>
    </row>
    <row r="616">
      <c r="L616" s="134" t="n"/>
      <c r="N616" s="134" t="n"/>
      <c r="P616" s="134" t="n"/>
      <c r="R616" s="134" t="n"/>
      <c r="T616" s="134" t="n"/>
      <c r="V616" s="134" t="n"/>
      <c r="X616" s="134" t="n"/>
    </row>
    <row r="617">
      <c r="L617" s="134" t="n"/>
      <c r="N617" s="134" t="n"/>
      <c r="P617" s="134" t="n"/>
      <c r="R617" s="134" t="n"/>
      <c r="T617" s="134" t="n"/>
      <c r="V617" s="134" t="n"/>
      <c r="X617" s="134" t="n"/>
    </row>
    <row r="618">
      <c r="L618" s="134" t="n"/>
      <c r="N618" s="134" t="n"/>
      <c r="P618" s="134" t="n"/>
      <c r="R618" s="134" t="n"/>
      <c r="T618" s="134" t="n"/>
      <c r="V618" s="134" t="n"/>
      <c r="X618" s="134" t="n"/>
    </row>
    <row r="619">
      <c r="L619" s="134" t="n"/>
      <c r="N619" s="134" t="n"/>
      <c r="P619" s="134" t="n"/>
      <c r="R619" s="134" t="n"/>
      <c r="T619" s="134" t="n"/>
      <c r="V619" s="134" t="n"/>
      <c r="X619" s="134" t="n"/>
    </row>
    <row r="620">
      <c r="L620" s="134" t="n"/>
      <c r="N620" s="134" t="n"/>
      <c r="P620" s="134" t="n"/>
      <c r="R620" s="134" t="n"/>
      <c r="T620" s="134" t="n"/>
      <c r="V620" s="134" t="n"/>
      <c r="X620" s="134" t="n"/>
    </row>
    <row r="621">
      <c r="L621" s="134" t="n"/>
      <c r="N621" s="134" t="n"/>
      <c r="P621" s="134" t="n"/>
      <c r="R621" s="134" t="n"/>
      <c r="T621" s="134" t="n"/>
      <c r="V621" s="134" t="n"/>
      <c r="X621" s="134" t="n"/>
    </row>
    <row r="622">
      <c r="L622" s="134" t="n"/>
      <c r="N622" s="134" t="n"/>
      <c r="P622" s="134" t="n"/>
      <c r="R622" s="134" t="n"/>
      <c r="T622" s="134" t="n"/>
      <c r="V622" s="134" t="n"/>
      <c r="X622" s="134" t="n"/>
    </row>
    <row r="623">
      <c r="L623" s="134" t="n"/>
      <c r="N623" s="134" t="n"/>
      <c r="P623" s="134" t="n"/>
      <c r="R623" s="134" t="n"/>
      <c r="T623" s="134" t="n"/>
      <c r="V623" s="134" t="n"/>
      <c r="X623" s="134" t="n"/>
    </row>
    <row r="624">
      <c r="L624" s="134" t="n"/>
      <c r="N624" s="134" t="n"/>
      <c r="P624" s="134" t="n"/>
      <c r="R624" s="134" t="n"/>
      <c r="T624" s="134" t="n"/>
      <c r="V624" s="134" t="n"/>
      <c r="X624" s="134" t="n"/>
    </row>
    <row r="625">
      <c r="L625" s="134" t="n"/>
      <c r="N625" s="134" t="n"/>
      <c r="P625" s="134" t="n"/>
      <c r="R625" s="134" t="n"/>
      <c r="T625" s="134" t="n"/>
      <c r="V625" s="134" t="n"/>
      <c r="X625" s="134" t="n"/>
    </row>
    <row r="626">
      <c r="L626" s="134" t="n"/>
      <c r="N626" s="134" t="n"/>
      <c r="P626" s="134" t="n"/>
      <c r="R626" s="134" t="n"/>
      <c r="T626" s="134" t="n"/>
      <c r="V626" s="134" t="n"/>
      <c r="X626" s="134" t="n"/>
    </row>
    <row r="627">
      <c r="L627" s="134" t="n"/>
      <c r="N627" s="134" t="n"/>
      <c r="P627" s="134" t="n"/>
      <c r="R627" s="134" t="n"/>
      <c r="T627" s="134" t="n"/>
      <c r="V627" s="134" t="n"/>
      <c r="X627" s="134" t="n"/>
    </row>
    <row r="628">
      <c r="L628" s="134" t="n"/>
      <c r="N628" s="134" t="n"/>
      <c r="P628" s="134" t="n"/>
      <c r="R628" s="134" t="n"/>
      <c r="T628" s="134" t="n"/>
      <c r="V628" s="134" t="n"/>
      <c r="X628" s="134" t="n"/>
    </row>
    <row r="629">
      <c r="L629" s="134" t="n"/>
      <c r="N629" s="134" t="n"/>
      <c r="P629" s="134" t="n"/>
      <c r="R629" s="134" t="n"/>
      <c r="T629" s="134" t="n"/>
      <c r="V629" s="134" t="n"/>
      <c r="X629" s="134" t="n"/>
    </row>
    <row r="630">
      <c r="L630" s="134" t="n"/>
      <c r="N630" s="134" t="n"/>
      <c r="P630" s="134" t="n"/>
      <c r="R630" s="134" t="n"/>
      <c r="T630" s="134" t="n"/>
      <c r="V630" s="134" t="n"/>
      <c r="X630" s="134" t="n"/>
    </row>
    <row r="631">
      <c r="L631" s="134" t="n"/>
      <c r="N631" s="134" t="n"/>
      <c r="P631" s="134" t="n"/>
      <c r="R631" s="134" t="n"/>
      <c r="T631" s="134" t="n"/>
      <c r="V631" s="134" t="n"/>
      <c r="X631" s="134" t="n"/>
    </row>
    <row r="632">
      <c r="L632" s="134" t="n"/>
      <c r="N632" s="134" t="n"/>
      <c r="P632" s="134" t="n"/>
      <c r="R632" s="134" t="n"/>
      <c r="T632" s="134" t="n"/>
      <c r="V632" s="134" t="n"/>
      <c r="X632" s="134" t="n"/>
    </row>
    <row r="633">
      <c r="L633" s="134" t="n"/>
      <c r="N633" s="134" t="n"/>
      <c r="P633" s="134" t="n"/>
      <c r="R633" s="134" t="n"/>
      <c r="T633" s="134" t="n"/>
      <c r="V633" s="134" t="n"/>
      <c r="X633" s="134" t="n"/>
    </row>
    <row r="634">
      <c r="L634" s="134" t="n"/>
      <c r="N634" s="134" t="n"/>
      <c r="P634" s="134" t="n"/>
      <c r="R634" s="134" t="n"/>
      <c r="T634" s="134" t="n"/>
      <c r="V634" s="134" t="n"/>
      <c r="X634" s="134" t="n"/>
    </row>
    <row r="635">
      <c r="L635" s="134" t="n"/>
      <c r="N635" s="134" t="n"/>
      <c r="P635" s="134" t="n"/>
      <c r="R635" s="134" t="n"/>
      <c r="T635" s="134" t="n"/>
      <c r="V635" s="134" t="n"/>
      <c r="X635" s="134" t="n"/>
    </row>
    <row r="636">
      <c r="L636" s="134" t="n"/>
      <c r="N636" s="134" t="n"/>
      <c r="P636" s="134" t="n"/>
      <c r="R636" s="134" t="n"/>
      <c r="T636" s="134" t="n"/>
      <c r="V636" s="134" t="n"/>
      <c r="X636" s="134" t="n"/>
    </row>
    <row r="637">
      <c r="L637" s="134" t="n"/>
      <c r="N637" s="134" t="n"/>
      <c r="P637" s="134" t="n"/>
      <c r="R637" s="134" t="n"/>
      <c r="T637" s="134" t="n"/>
      <c r="V637" s="134" t="n"/>
      <c r="X637" s="134" t="n"/>
    </row>
    <row r="638">
      <c r="L638" s="134" t="n"/>
      <c r="N638" s="134" t="n"/>
      <c r="P638" s="134" t="n"/>
      <c r="R638" s="134" t="n"/>
      <c r="T638" s="134" t="n"/>
      <c r="V638" s="134" t="n"/>
      <c r="X638" s="134" t="n"/>
    </row>
    <row r="639">
      <c r="L639" s="134" t="n"/>
      <c r="N639" s="134" t="n"/>
      <c r="P639" s="134" t="n"/>
      <c r="R639" s="134" t="n"/>
      <c r="T639" s="134" t="n"/>
      <c r="V639" s="134" t="n"/>
      <c r="X639" s="134" t="n"/>
    </row>
    <row r="640">
      <c r="L640" s="134" t="n"/>
      <c r="N640" s="134" t="n"/>
      <c r="P640" s="134" t="n"/>
      <c r="R640" s="134" t="n"/>
      <c r="T640" s="134" t="n"/>
      <c r="V640" s="134" t="n"/>
      <c r="X640" s="134" t="n"/>
    </row>
    <row r="641">
      <c r="L641" s="134" t="n"/>
      <c r="N641" s="134" t="n"/>
      <c r="P641" s="134" t="n"/>
      <c r="R641" s="134" t="n"/>
      <c r="T641" s="134" t="n"/>
      <c r="V641" s="134" t="n"/>
      <c r="X641" s="134" t="n"/>
    </row>
    <row r="642">
      <c r="L642" s="134" t="n"/>
      <c r="N642" s="134" t="n"/>
      <c r="P642" s="134" t="n"/>
      <c r="R642" s="134" t="n"/>
      <c r="T642" s="134" t="n"/>
      <c r="V642" s="134" t="n"/>
      <c r="X642" s="134" t="n"/>
    </row>
    <row r="643">
      <c r="L643" s="134" t="n"/>
      <c r="N643" s="134" t="n"/>
      <c r="P643" s="134" t="n"/>
      <c r="R643" s="134" t="n"/>
      <c r="T643" s="134" t="n"/>
      <c r="V643" s="134" t="n"/>
      <c r="X643" s="134" t="n"/>
    </row>
    <row r="644">
      <c r="L644" s="134" t="n"/>
      <c r="N644" s="134" t="n"/>
      <c r="P644" s="134" t="n"/>
      <c r="R644" s="134" t="n"/>
      <c r="T644" s="134" t="n"/>
      <c r="V644" s="134" t="n"/>
      <c r="X644" s="134" t="n"/>
    </row>
    <row r="645">
      <c r="L645" s="134" t="n"/>
      <c r="N645" s="134" t="n"/>
      <c r="P645" s="134" t="n"/>
      <c r="R645" s="134" t="n"/>
      <c r="T645" s="134" t="n"/>
      <c r="V645" s="134" t="n"/>
      <c r="X645" s="134" t="n"/>
    </row>
    <row r="646">
      <c r="L646" s="134" t="n"/>
      <c r="N646" s="134" t="n"/>
      <c r="P646" s="134" t="n"/>
      <c r="R646" s="134" t="n"/>
      <c r="T646" s="134" t="n"/>
      <c r="V646" s="134" t="n"/>
      <c r="X646" s="134" t="n"/>
    </row>
    <row r="647">
      <c r="L647" s="134" t="n"/>
      <c r="N647" s="134" t="n"/>
      <c r="P647" s="134" t="n"/>
      <c r="R647" s="134" t="n"/>
      <c r="T647" s="134" t="n"/>
      <c r="V647" s="134" t="n"/>
      <c r="X647" s="134" t="n"/>
    </row>
    <row r="648">
      <c r="L648" s="134" t="n"/>
      <c r="N648" s="134" t="n"/>
      <c r="P648" s="134" t="n"/>
      <c r="R648" s="134" t="n"/>
      <c r="T648" s="134" t="n"/>
      <c r="V648" s="134" t="n"/>
      <c r="X648" s="134" t="n"/>
    </row>
    <row r="649">
      <c r="L649" s="134" t="n"/>
      <c r="N649" s="134" t="n"/>
      <c r="P649" s="134" t="n"/>
      <c r="R649" s="134" t="n"/>
      <c r="T649" s="134" t="n"/>
      <c r="V649" s="134" t="n"/>
      <c r="X649" s="134" t="n"/>
    </row>
    <row r="650">
      <c r="L650" s="134" t="n"/>
      <c r="N650" s="134" t="n"/>
      <c r="P650" s="134" t="n"/>
      <c r="R650" s="134" t="n"/>
      <c r="T650" s="134" t="n"/>
      <c r="V650" s="134" t="n"/>
      <c r="X650" s="134" t="n"/>
    </row>
    <row r="651">
      <c r="L651" s="134" t="n"/>
      <c r="N651" s="134" t="n"/>
      <c r="P651" s="134" t="n"/>
      <c r="R651" s="134" t="n"/>
      <c r="T651" s="134" t="n"/>
      <c r="V651" s="134" t="n"/>
      <c r="X651" s="134" t="n"/>
    </row>
    <row r="652">
      <c r="L652" s="134" t="n"/>
      <c r="N652" s="134" t="n"/>
      <c r="P652" s="134" t="n"/>
      <c r="R652" s="134" t="n"/>
      <c r="T652" s="134" t="n"/>
      <c r="V652" s="134" t="n"/>
      <c r="X652" s="134" t="n"/>
    </row>
    <row r="653">
      <c r="L653" s="134" t="n"/>
      <c r="N653" s="134" t="n"/>
      <c r="P653" s="134" t="n"/>
      <c r="R653" s="134" t="n"/>
      <c r="T653" s="134" t="n"/>
      <c r="V653" s="134" t="n"/>
      <c r="X653" s="134" t="n"/>
    </row>
    <row r="654">
      <c r="L654" s="134" t="n"/>
      <c r="N654" s="134" t="n"/>
      <c r="P654" s="134" t="n"/>
      <c r="R654" s="134" t="n"/>
      <c r="T654" s="134" t="n"/>
      <c r="V654" s="134" t="n"/>
      <c r="X654" s="134" t="n"/>
    </row>
    <row r="655">
      <c r="L655" s="134" t="n"/>
      <c r="N655" s="134" t="n"/>
      <c r="P655" s="134" t="n"/>
      <c r="R655" s="134" t="n"/>
      <c r="T655" s="134" t="n"/>
      <c r="V655" s="134" t="n"/>
      <c r="X655" s="134" t="n"/>
    </row>
    <row r="656">
      <c r="L656" s="134" t="n"/>
      <c r="N656" s="134" t="n"/>
      <c r="P656" s="134" t="n"/>
      <c r="R656" s="134" t="n"/>
      <c r="T656" s="134" t="n"/>
      <c r="V656" s="134" t="n"/>
      <c r="X656" s="134" t="n"/>
    </row>
    <row r="657">
      <c r="L657" s="134" t="n"/>
      <c r="N657" s="134" t="n"/>
      <c r="P657" s="134" t="n"/>
      <c r="R657" s="134" t="n"/>
      <c r="T657" s="134" t="n"/>
      <c r="V657" s="134" t="n"/>
      <c r="X657" s="134" t="n"/>
    </row>
    <row r="658">
      <c r="L658" s="134" t="n"/>
      <c r="N658" s="134" t="n"/>
      <c r="P658" s="134" t="n"/>
      <c r="R658" s="134" t="n"/>
      <c r="T658" s="134" t="n"/>
      <c r="V658" s="134" t="n"/>
      <c r="X658" s="134" t="n"/>
    </row>
    <row r="659">
      <c r="L659" s="134" t="n"/>
      <c r="N659" s="134" t="n"/>
      <c r="P659" s="134" t="n"/>
      <c r="R659" s="134" t="n"/>
      <c r="T659" s="134" t="n"/>
      <c r="V659" s="134" t="n"/>
      <c r="X659" s="134" t="n"/>
    </row>
    <row r="660">
      <c r="L660" s="134" t="n"/>
      <c r="N660" s="134" t="n"/>
      <c r="P660" s="134" t="n"/>
      <c r="R660" s="134" t="n"/>
      <c r="T660" s="134" t="n"/>
      <c r="V660" s="134" t="n"/>
      <c r="X660" s="134" t="n"/>
    </row>
    <row r="661">
      <c r="L661" s="134" t="n"/>
      <c r="N661" s="134" t="n"/>
      <c r="P661" s="134" t="n"/>
      <c r="R661" s="134" t="n"/>
      <c r="T661" s="134" t="n"/>
      <c r="V661" s="134" t="n"/>
      <c r="X661" s="134" t="n"/>
    </row>
    <row r="662">
      <c r="L662" s="134" t="n"/>
      <c r="N662" s="134" t="n"/>
      <c r="P662" s="134" t="n"/>
      <c r="R662" s="134" t="n"/>
      <c r="T662" s="134" t="n"/>
      <c r="V662" s="134" t="n"/>
      <c r="X662" s="134" t="n"/>
    </row>
    <row r="663">
      <c r="L663" s="134" t="n"/>
      <c r="N663" s="134" t="n"/>
      <c r="P663" s="134" t="n"/>
      <c r="R663" s="134" t="n"/>
      <c r="T663" s="134" t="n"/>
      <c r="V663" s="134" t="n"/>
      <c r="X663" s="134" t="n"/>
    </row>
    <row r="664">
      <c r="L664" s="134" t="n"/>
      <c r="N664" s="134" t="n"/>
      <c r="P664" s="134" t="n"/>
      <c r="R664" s="134" t="n"/>
      <c r="T664" s="134" t="n"/>
      <c r="V664" s="134" t="n"/>
      <c r="X664" s="134" t="n"/>
    </row>
    <row r="665">
      <c r="L665" s="134" t="n"/>
      <c r="N665" s="134" t="n"/>
      <c r="P665" s="134" t="n"/>
      <c r="R665" s="134" t="n"/>
      <c r="T665" s="134" t="n"/>
      <c r="V665" s="134" t="n"/>
      <c r="X665" s="134" t="n"/>
    </row>
    <row r="666">
      <c r="L666" s="134" t="n"/>
      <c r="N666" s="134" t="n"/>
      <c r="P666" s="134" t="n"/>
      <c r="R666" s="134" t="n"/>
      <c r="T666" s="134" t="n"/>
      <c r="V666" s="134" t="n"/>
      <c r="X666" s="134" t="n"/>
    </row>
    <row r="667">
      <c r="L667" s="134" t="n"/>
      <c r="N667" s="134" t="n"/>
      <c r="P667" s="134" t="n"/>
      <c r="R667" s="134" t="n"/>
      <c r="T667" s="134" t="n"/>
      <c r="V667" s="134" t="n"/>
      <c r="X667" s="134" t="n"/>
    </row>
    <row r="668">
      <c r="L668" s="134" t="n"/>
      <c r="N668" s="134" t="n"/>
      <c r="P668" s="134" t="n"/>
      <c r="R668" s="134" t="n"/>
      <c r="T668" s="134" t="n"/>
      <c r="V668" s="134" t="n"/>
      <c r="X668" s="134" t="n"/>
    </row>
    <row r="669">
      <c r="L669" s="134" t="n"/>
      <c r="N669" s="134" t="n"/>
      <c r="P669" s="134" t="n"/>
      <c r="R669" s="134" t="n"/>
      <c r="T669" s="134" t="n"/>
      <c r="V669" s="134" t="n"/>
      <c r="X669" s="134" t="n"/>
    </row>
    <row r="670">
      <c r="L670" s="134" t="n"/>
      <c r="N670" s="134" t="n"/>
      <c r="P670" s="134" t="n"/>
      <c r="R670" s="134" t="n"/>
      <c r="T670" s="134" t="n"/>
      <c r="V670" s="134" t="n"/>
      <c r="X670" s="134" t="n"/>
    </row>
    <row r="671">
      <c r="L671" s="134" t="n"/>
      <c r="N671" s="134" t="n"/>
      <c r="P671" s="134" t="n"/>
      <c r="R671" s="134" t="n"/>
      <c r="T671" s="134" t="n"/>
      <c r="V671" s="134" t="n"/>
      <c r="X671" s="134" t="n"/>
    </row>
    <row r="672">
      <c r="L672" s="134" t="n"/>
      <c r="N672" s="134" t="n"/>
      <c r="P672" s="134" t="n"/>
      <c r="R672" s="134" t="n"/>
      <c r="T672" s="134" t="n"/>
      <c r="V672" s="134" t="n"/>
      <c r="X672" s="134" t="n"/>
    </row>
    <row r="673">
      <c r="L673" s="134" t="n"/>
      <c r="N673" s="134" t="n"/>
      <c r="P673" s="134" t="n"/>
      <c r="R673" s="134" t="n"/>
      <c r="T673" s="134" t="n"/>
      <c r="V673" s="134" t="n"/>
      <c r="X673" s="134" t="n"/>
    </row>
    <row r="674">
      <c r="L674" s="134" t="n"/>
      <c r="N674" s="134" t="n"/>
      <c r="P674" s="134" t="n"/>
      <c r="R674" s="134" t="n"/>
      <c r="T674" s="134" t="n"/>
      <c r="V674" s="134" t="n"/>
      <c r="X674" s="134" t="n"/>
    </row>
    <row r="675">
      <c r="L675" s="134" t="n"/>
      <c r="N675" s="134" t="n"/>
      <c r="P675" s="134" t="n"/>
      <c r="R675" s="134" t="n"/>
      <c r="T675" s="134" t="n"/>
      <c r="V675" s="134" t="n"/>
      <c r="X675" s="134" t="n"/>
    </row>
    <row r="676">
      <c r="L676" s="134" t="n"/>
      <c r="N676" s="134" t="n"/>
      <c r="P676" s="134" t="n"/>
      <c r="R676" s="134" t="n"/>
      <c r="T676" s="134" t="n"/>
      <c r="V676" s="134" t="n"/>
      <c r="X676" s="134" t="n"/>
    </row>
    <row r="677">
      <c r="L677" s="134" t="n"/>
      <c r="N677" s="134" t="n"/>
      <c r="P677" s="134" t="n"/>
      <c r="R677" s="134" t="n"/>
      <c r="T677" s="134" t="n"/>
      <c r="V677" s="134" t="n"/>
      <c r="X677" s="134" t="n"/>
    </row>
    <row r="678">
      <c r="L678" s="134" t="n"/>
      <c r="N678" s="134" t="n"/>
      <c r="P678" s="134" t="n"/>
      <c r="R678" s="134" t="n"/>
      <c r="T678" s="134" t="n"/>
      <c r="V678" s="134" t="n"/>
      <c r="X678" s="134" t="n"/>
    </row>
    <row r="679">
      <c r="L679" s="134" t="n"/>
      <c r="N679" s="134" t="n"/>
      <c r="P679" s="134" t="n"/>
      <c r="R679" s="134" t="n"/>
      <c r="T679" s="134" t="n"/>
      <c r="V679" s="134" t="n"/>
      <c r="X679" s="134" t="n"/>
    </row>
    <row r="680">
      <c r="L680" s="134" t="n"/>
      <c r="N680" s="134" t="n"/>
      <c r="P680" s="134" t="n"/>
      <c r="R680" s="134" t="n"/>
      <c r="T680" s="134" t="n"/>
      <c r="V680" s="134" t="n"/>
      <c r="X680" s="134" t="n"/>
    </row>
    <row r="681">
      <c r="L681" s="134" t="n"/>
      <c r="N681" s="134" t="n"/>
      <c r="P681" s="134" t="n"/>
      <c r="R681" s="134" t="n"/>
      <c r="T681" s="134" t="n"/>
      <c r="V681" s="134" t="n"/>
      <c r="X681" s="134" t="n"/>
    </row>
    <row r="682">
      <c r="L682" s="134" t="n"/>
      <c r="N682" s="134" t="n"/>
      <c r="P682" s="134" t="n"/>
      <c r="R682" s="134" t="n"/>
      <c r="T682" s="134" t="n"/>
      <c r="V682" s="134" t="n"/>
      <c r="X682" s="134" t="n"/>
    </row>
    <row r="683">
      <c r="L683" s="134" t="n"/>
      <c r="N683" s="134" t="n"/>
      <c r="P683" s="134" t="n"/>
      <c r="R683" s="134" t="n"/>
      <c r="T683" s="134" t="n"/>
      <c r="V683" s="134" t="n"/>
      <c r="X683" s="134" t="n"/>
    </row>
    <row r="684">
      <c r="L684" s="134" t="n"/>
      <c r="N684" s="134" t="n"/>
      <c r="P684" s="134" t="n"/>
      <c r="R684" s="134" t="n"/>
      <c r="T684" s="134" t="n"/>
      <c r="V684" s="134" t="n"/>
      <c r="X684" s="134" t="n"/>
    </row>
    <row r="685">
      <c r="L685" s="134" t="n"/>
      <c r="N685" s="134" t="n"/>
      <c r="P685" s="134" t="n"/>
      <c r="R685" s="134" t="n"/>
      <c r="T685" s="134" t="n"/>
      <c r="V685" s="134" t="n"/>
      <c r="X685" s="134" t="n"/>
    </row>
    <row r="686">
      <c r="L686" s="134" t="n"/>
      <c r="N686" s="134" t="n"/>
      <c r="P686" s="134" t="n"/>
      <c r="R686" s="134" t="n"/>
      <c r="T686" s="134" t="n"/>
      <c r="V686" s="134" t="n"/>
      <c r="X686" s="134" t="n"/>
    </row>
    <row r="687">
      <c r="L687" s="134" t="n"/>
      <c r="N687" s="134" t="n"/>
      <c r="P687" s="134" t="n"/>
      <c r="R687" s="134" t="n"/>
      <c r="T687" s="134" t="n"/>
      <c r="V687" s="134" t="n"/>
      <c r="X687" s="134" t="n"/>
    </row>
    <row r="688">
      <c r="L688" s="134" t="n"/>
      <c r="N688" s="134" t="n"/>
      <c r="P688" s="134" t="n"/>
      <c r="R688" s="134" t="n"/>
      <c r="T688" s="134" t="n"/>
      <c r="V688" s="134" t="n"/>
      <c r="X688" s="134" t="n"/>
    </row>
    <row r="689">
      <c r="L689" s="134" t="n"/>
      <c r="N689" s="134" t="n"/>
      <c r="P689" s="134" t="n"/>
      <c r="R689" s="134" t="n"/>
      <c r="T689" s="134" t="n"/>
      <c r="V689" s="134" t="n"/>
      <c r="X689" s="134" t="n"/>
    </row>
    <row r="690">
      <c r="L690" s="134" t="n"/>
      <c r="N690" s="134" t="n"/>
      <c r="P690" s="134" t="n"/>
      <c r="R690" s="134" t="n"/>
      <c r="T690" s="134" t="n"/>
      <c r="V690" s="134" t="n"/>
      <c r="X690" s="134" t="n"/>
    </row>
    <row r="691">
      <c r="L691" s="134" t="n"/>
      <c r="N691" s="134" t="n"/>
      <c r="P691" s="134" t="n"/>
      <c r="R691" s="134" t="n"/>
      <c r="T691" s="134" t="n"/>
      <c r="V691" s="134" t="n"/>
      <c r="X691" s="134" t="n"/>
    </row>
    <row r="692">
      <c r="L692" s="134" t="n"/>
      <c r="N692" s="134" t="n"/>
      <c r="P692" s="134" t="n"/>
      <c r="R692" s="134" t="n"/>
      <c r="T692" s="134" t="n"/>
      <c r="V692" s="134" t="n"/>
      <c r="X692" s="134" t="n"/>
    </row>
    <row r="693">
      <c r="L693" s="134" t="n"/>
      <c r="N693" s="134" t="n"/>
      <c r="P693" s="134" t="n"/>
      <c r="R693" s="134" t="n"/>
      <c r="T693" s="134" t="n"/>
      <c r="V693" s="134" t="n"/>
      <c r="X693" s="134" t="n"/>
    </row>
    <row r="694">
      <c r="L694" s="134" t="n"/>
      <c r="N694" s="134" t="n"/>
      <c r="P694" s="134" t="n"/>
      <c r="R694" s="134" t="n"/>
      <c r="T694" s="134" t="n"/>
      <c r="V694" s="134" t="n"/>
      <c r="X694" s="134" t="n"/>
    </row>
    <row r="695">
      <c r="L695" s="134" t="n"/>
      <c r="N695" s="134" t="n"/>
      <c r="P695" s="134" t="n"/>
      <c r="R695" s="134" t="n"/>
      <c r="T695" s="134" t="n"/>
      <c r="V695" s="134" t="n"/>
      <c r="X695" s="134" t="n"/>
    </row>
    <row r="696">
      <c r="L696" s="134" t="n"/>
      <c r="N696" s="134" t="n"/>
      <c r="P696" s="134" t="n"/>
      <c r="R696" s="134" t="n"/>
      <c r="T696" s="134" t="n"/>
      <c r="V696" s="134" t="n"/>
      <c r="X696" s="134" t="n"/>
    </row>
    <row r="697">
      <c r="L697" s="134" t="n"/>
      <c r="N697" s="134" t="n"/>
      <c r="P697" s="134" t="n"/>
      <c r="R697" s="134" t="n"/>
      <c r="T697" s="134" t="n"/>
      <c r="V697" s="134" t="n"/>
      <c r="X697" s="134" t="n"/>
    </row>
    <row r="698">
      <c r="L698" s="134" t="n"/>
      <c r="N698" s="134" t="n"/>
      <c r="P698" s="134" t="n"/>
      <c r="R698" s="134" t="n"/>
      <c r="T698" s="134" t="n"/>
      <c r="V698" s="134" t="n"/>
      <c r="X698" s="134" t="n"/>
    </row>
    <row r="699">
      <c r="L699" s="134" t="n"/>
      <c r="N699" s="134" t="n"/>
      <c r="P699" s="134" t="n"/>
      <c r="R699" s="134" t="n"/>
      <c r="T699" s="134" t="n"/>
      <c r="V699" s="134" t="n"/>
      <c r="X699" s="134" t="n"/>
    </row>
    <row r="700">
      <c r="L700" s="134" t="n"/>
      <c r="N700" s="134" t="n"/>
      <c r="P700" s="134" t="n"/>
      <c r="R700" s="134" t="n"/>
      <c r="T700" s="134" t="n"/>
      <c r="V700" s="134" t="n"/>
      <c r="X700" s="134" t="n"/>
    </row>
    <row r="701">
      <c r="L701" s="134" t="n"/>
      <c r="N701" s="134" t="n"/>
      <c r="P701" s="134" t="n"/>
      <c r="R701" s="134" t="n"/>
      <c r="T701" s="134" t="n"/>
      <c r="V701" s="134" t="n"/>
      <c r="X701" s="134" t="n"/>
    </row>
    <row r="702">
      <c r="L702" s="134" t="n"/>
      <c r="N702" s="134" t="n"/>
      <c r="P702" s="134" t="n"/>
      <c r="R702" s="134" t="n"/>
      <c r="T702" s="134" t="n"/>
      <c r="V702" s="134" t="n"/>
      <c r="X702" s="134" t="n"/>
    </row>
    <row r="703">
      <c r="L703" s="134" t="n"/>
      <c r="N703" s="134" t="n"/>
      <c r="P703" s="134" t="n"/>
      <c r="R703" s="134" t="n"/>
      <c r="T703" s="134" t="n"/>
      <c r="V703" s="134" t="n"/>
      <c r="X703" s="134" t="n"/>
    </row>
    <row r="704">
      <c r="L704" s="134" t="n"/>
      <c r="N704" s="134" t="n"/>
      <c r="P704" s="134" t="n"/>
      <c r="R704" s="134" t="n"/>
      <c r="T704" s="134" t="n"/>
      <c r="V704" s="134" t="n"/>
      <c r="X704" s="134" t="n"/>
    </row>
    <row r="705">
      <c r="L705" s="134" t="n"/>
      <c r="N705" s="134" t="n"/>
      <c r="P705" s="134" t="n"/>
      <c r="R705" s="134" t="n"/>
      <c r="T705" s="134" t="n"/>
      <c r="V705" s="134" t="n"/>
      <c r="X705" s="134" t="n"/>
    </row>
    <row r="706">
      <c r="L706" s="134" t="n"/>
      <c r="N706" s="134" t="n"/>
      <c r="P706" s="134" t="n"/>
      <c r="R706" s="134" t="n"/>
      <c r="T706" s="134" t="n"/>
      <c r="V706" s="134" t="n"/>
      <c r="X706" s="134" t="n"/>
    </row>
    <row r="707">
      <c r="L707" s="134" t="n"/>
      <c r="N707" s="134" t="n"/>
      <c r="P707" s="134" t="n"/>
      <c r="R707" s="134" t="n"/>
      <c r="T707" s="134" t="n"/>
      <c r="V707" s="134" t="n"/>
      <c r="X707" s="134" t="n"/>
    </row>
    <row r="708">
      <c r="L708" s="134" t="n"/>
      <c r="N708" s="134" t="n"/>
      <c r="P708" s="134" t="n"/>
      <c r="R708" s="134" t="n"/>
      <c r="T708" s="134" t="n"/>
      <c r="V708" s="134" t="n"/>
      <c r="X708" s="134" t="n"/>
    </row>
    <row r="709">
      <c r="L709" s="134" t="n"/>
      <c r="N709" s="134" t="n"/>
      <c r="P709" s="134" t="n"/>
      <c r="R709" s="134" t="n"/>
      <c r="T709" s="134" t="n"/>
      <c r="V709" s="134" t="n"/>
      <c r="X709" s="134" t="n"/>
    </row>
    <row r="710">
      <c r="L710" s="134" t="n"/>
      <c r="N710" s="134" t="n"/>
      <c r="P710" s="134" t="n"/>
      <c r="R710" s="134" t="n"/>
      <c r="T710" s="134" t="n"/>
      <c r="V710" s="134" t="n"/>
      <c r="X710" s="134" t="n"/>
    </row>
    <row r="711">
      <c r="L711" s="134" t="n"/>
      <c r="N711" s="134" t="n"/>
      <c r="P711" s="134" t="n"/>
      <c r="R711" s="134" t="n"/>
      <c r="T711" s="134" t="n"/>
      <c r="V711" s="134" t="n"/>
      <c r="X711" s="134" t="n"/>
    </row>
    <row r="712">
      <c r="L712" s="134" t="n"/>
      <c r="N712" s="134" t="n"/>
      <c r="P712" s="134" t="n"/>
      <c r="R712" s="134" t="n"/>
      <c r="T712" s="134" t="n"/>
      <c r="V712" s="134" t="n"/>
      <c r="X712" s="134" t="n"/>
    </row>
    <row r="713">
      <c r="L713" s="134" t="n"/>
      <c r="N713" s="134" t="n"/>
      <c r="P713" s="134" t="n"/>
      <c r="R713" s="134" t="n"/>
      <c r="T713" s="134" t="n"/>
      <c r="V713" s="134" t="n"/>
      <c r="X713" s="134" t="n"/>
    </row>
    <row r="714">
      <c r="L714" s="134" t="n"/>
      <c r="N714" s="134" t="n"/>
      <c r="P714" s="134" t="n"/>
      <c r="R714" s="134" t="n"/>
      <c r="T714" s="134" t="n"/>
      <c r="V714" s="134" t="n"/>
      <c r="X714" s="134" t="n"/>
    </row>
    <row r="715">
      <c r="L715" s="134" t="n"/>
      <c r="N715" s="134" t="n"/>
      <c r="P715" s="134" t="n"/>
      <c r="R715" s="134" t="n"/>
      <c r="T715" s="134" t="n"/>
      <c r="V715" s="134" t="n"/>
      <c r="X715" s="134" t="n"/>
    </row>
    <row r="716">
      <c r="L716" s="134" t="n"/>
      <c r="N716" s="134" t="n"/>
      <c r="P716" s="134" t="n"/>
      <c r="R716" s="134" t="n"/>
      <c r="T716" s="134" t="n"/>
      <c r="V716" s="134" t="n"/>
      <c r="X716" s="134" t="n"/>
    </row>
    <row r="717">
      <c r="L717" s="134" t="n"/>
      <c r="N717" s="134" t="n"/>
      <c r="P717" s="134" t="n"/>
      <c r="R717" s="134" t="n"/>
      <c r="T717" s="134" t="n"/>
      <c r="V717" s="134" t="n"/>
      <c r="X717" s="134" t="n"/>
    </row>
    <row r="718">
      <c r="L718" s="134" t="n"/>
      <c r="N718" s="134" t="n"/>
      <c r="P718" s="134" t="n"/>
      <c r="R718" s="134" t="n"/>
      <c r="T718" s="134" t="n"/>
      <c r="V718" s="134" t="n"/>
      <c r="X718" s="134" t="n"/>
    </row>
    <row r="719">
      <c r="L719" s="134" t="n"/>
      <c r="N719" s="134" t="n"/>
      <c r="P719" s="134" t="n"/>
      <c r="R719" s="134" t="n"/>
      <c r="T719" s="134" t="n"/>
      <c r="V719" s="134" t="n"/>
      <c r="X719" s="134" t="n"/>
    </row>
    <row r="720">
      <c r="L720" s="134" t="n"/>
      <c r="N720" s="134" t="n"/>
      <c r="P720" s="134" t="n"/>
      <c r="R720" s="134" t="n"/>
      <c r="T720" s="134" t="n"/>
      <c r="V720" s="134" t="n"/>
      <c r="X720" s="134" t="n"/>
    </row>
    <row r="721">
      <c r="L721" s="134" t="n"/>
      <c r="N721" s="134" t="n"/>
      <c r="P721" s="134" t="n"/>
      <c r="R721" s="134" t="n"/>
      <c r="T721" s="134" t="n"/>
      <c r="V721" s="134" t="n"/>
      <c r="X721" s="134" t="n"/>
    </row>
    <row r="722">
      <c r="L722" s="134" t="n"/>
      <c r="N722" s="134" t="n"/>
      <c r="P722" s="134" t="n"/>
      <c r="R722" s="134" t="n"/>
      <c r="T722" s="134" t="n"/>
      <c r="V722" s="134" t="n"/>
      <c r="X722" s="134" t="n"/>
    </row>
    <row r="723">
      <c r="L723" s="134" t="n"/>
      <c r="N723" s="134" t="n"/>
      <c r="P723" s="134" t="n"/>
      <c r="R723" s="134" t="n"/>
      <c r="T723" s="134" t="n"/>
      <c r="V723" s="134" t="n"/>
      <c r="X723" s="134" t="n"/>
    </row>
    <row r="724">
      <c r="L724" s="134" t="n"/>
      <c r="N724" s="134" t="n"/>
      <c r="P724" s="134" t="n"/>
      <c r="R724" s="134" t="n"/>
      <c r="T724" s="134" t="n"/>
      <c r="V724" s="134" t="n"/>
      <c r="X724" s="134" t="n"/>
    </row>
    <row r="725">
      <c r="L725" s="134" t="n"/>
      <c r="N725" s="134" t="n"/>
      <c r="P725" s="134" t="n"/>
      <c r="R725" s="134" t="n"/>
      <c r="T725" s="134" t="n"/>
      <c r="V725" s="134" t="n"/>
      <c r="X725" s="134" t="n"/>
    </row>
    <row r="726">
      <c r="L726" s="134" t="n"/>
      <c r="N726" s="134" t="n"/>
      <c r="P726" s="134" t="n"/>
      <c r="R726" s="134" t="n"/>
      <c r="T726" s="134" t="n"/>
      <c r="V726" s="134" t="n"/>
      <c r="X726" s="134" t="n"/>
    </row>
    <row r="727">
      <c r="L727" s="134" t="n"/>
      <c r="N727" s="134" t="n"/>
      <c r="P727" s="134" t="n"/>
      <c r="R727" s="134" t="n"/>
      <c r="T727" s="134" t="n"/>
      <c r="V727" s="134" t="n"/>
      <c r="X727" s="134" t="n"/>
    </row>
    <row r="728">
      <c r="L728" s="134" t="n"/>
      <c r="N728" s="134" t="n"/>
      <c r="P728" s="134" t="n"/>
      <c r="R728" s="134" t="n"/>
      <c r="T728" s="134" t="n"/>
      <c r="V728" s="134" t="n"/>
      <c r="X728" s="134" t="n"/>
    </row>
    <row r="729">
      <c r="L729" s="134" t="n"/>
      <c r="N729" s="134" t="n"/>
      <c r="P729" s="134" t="n"/>
      <c r="R729" s="134" t="n"/>
      <c r="T729" s="134" t="n"/>
      <c r="V729" s="134" t="n"/>
      <c r="X729" s="134" t="n"/>
    </row>
    <row r="730">
      <c r="L730" s="134" t="n"/>
      <c r="N730" s="134" t="n"/>
      <c r="P730" s="134" t="n"/>
      <c r="R730" s="134" t="n"/>
      <c r="T730" s="134" t="n"/>
      <c r="V730" s="134" t="n"/>
      <c r="X730" s="134" t="n"/>
    </row>
    <row r="731">
      <c r="L731" s="134" t="n"/>
      <c r="N731" s="134" t="n"/>
      <c r="P731" s="134" t="n"/>
      <c r="R731" s="134" t="n"/>
      <c r="T731" s="134" t="n"/>
      <c r="V731" s="134" t="n"/>
      <c r="X731" s="134" t="n"/>
    </row>
    <row r="732">
      <c r="L732" s="134" t="n"/>
      <c r="N732" s="134" t="n"/>
      <c r="P732" s="134" t="n"/>
      <c r="R732" s="134" t="n"/>
      <c r="T732" s="134" t="n"/>
      <c r="V732" s="134" t="n"/>
      <c r="X732" s="134" t="n"/>
    </row>
    <row r="733">
      <c r="L733" s="134" t="n"/>
      <c r="N733" s="134" t="n"/>
      <c r="P733" s="134" t="n"/>
      <c r="R733" s="134" t="n"/>
      <c r="T733" s="134" t="n"/>
      <c r="V733" s="134" t="n"/>
      <c r="X733" s="134" t="n"/>
    </row>
    <row r="734">
      <c r="L734" s="134" t="n"/>
      <c r="N734" s="134" t="n"/>
      <c r="P734" s="134" t="n"/>
      <c r="R734" s="134" t="n"/>
      <c r="T734" s="134" t="n"/>
      <c r="V734" s="134" t="n"/>
      <c r="X734" s="134" t="n"/>
    </row>
    <row r="735">
      <c r="L735" s="134" t="n"/>
      <c r="N735" s="134" t="n"/>
      <c r="P735" s="134" t="n"/>
      <c r="R735" s="134" t="n"/>
      <c r="T735" s="134" t="n"/>
      <c r="V735" s="134" t="n"/>
      <c r="X735" s="134" t="n"/>
    </row>
    <row r="736">
      <c r="L736" s="134" t="n"/>
      <c r="N736" s="134" t="n"/>
      <c r="P736" s="134" t="n"/>
      <c r="R736" s="134" t="n"/>
      <c r="T736" s="134" t="n"/>
      <c r="V736" s="134" t="n"/>
      <c r="X736" s="134" t="n"/>
    </row>
    <row r="737">
      <c r="L737" s="134" t="n"/>
      <c r="N737" s="134" t="n"/>
      <c r="P737" s="134" t="n"/>
      <c r="R737" s="134" t="n"/>
      <c r="T737" s="134" t="n"/>
      <c r="V737" s="134" t="n"/>
      <c r="X737" s="134" t="n"/>
    </row>
    <row r="738">
      <c r="L738" s="134" t="n"/>
      <c r="N738" s="134" t="n"/>
      <c r="P738" s="134" t="n"/>
      <c r="R738" s="134" t="n"/>
      <c r="T738" s="134" t="n"/>
      <c r="V738" s="134" t="n"/>
      <c r="X738" s="134" t="n"/>
    </row>
    <row r="739">
      <c r="L739" s="134" t="n"/>
      <c r="N739" s="134" t="n"/>
      <c r="P739" s="134" t="n"/>
      <c r="R739" s="134" t="n"/>
      <c r="T739" s="134" t="n"/>
      <c r="V739" s="134" t="n"/>
      <c r="X739" s="134" t="n"/>
    </row>
    <row r="740">
      <c r="L740" s="134" t="n"/>
      <c r="N740" s="134" t="n"/>
      <c r="P740" s="134" t="n"/>
      <c r="R740" s="134" t="n"/>
      <c r="T740" s="134" t="n"/>
      <c r="V740" s="134" t="n"/>
      <c r="X740" s="134" t="n"/>
    </row>
    <row r="741">
      <c r="L741" s="134" t="n"/>
      <c r="N741" s="134" t="n"/>
      <c r="P741" s="134" t="n"/>
      <c r="R741" s="134" t="n"/>
      <c r="T741" s="134" t="n"/>
      <c r="V741" s="134" t="n"/>
      <c r="X741" s="134" t="n"/>
    </row>
    <row r="742">
      <c r="L742" s="134" t="n"/>
      <c r="N742" s="134" t="n"/>
      <c r="P742" s="134" t="n"/>
      <c r="R742" s="134" t="n"/>
      <c r="T742" s="134" t="n"/>
      <c r="V742" s="134" t="n"/>
      <c r="X742" s="134" t="n"/>
    </row>
    <row r="743">
      <c r="L743" s="134" t="n"/>
      <c r="N743" s="134" t="n"/>
      <c r="P743" s="134" t="n"/>
      <c r="R743" s="134" t="n"/>
      <c r="T743" s="134" t="n"/>
      <c r="V743" s="134" t="n"/>
      <c r="X743" s="134" t="n"/>
    </row>
    <row r="744">
      <c r="L744" s="134" t="n"/>
      <c r="N744" s="134" t="n"/>
      <c r="P744" s="134" t="n"/>
      <c r="R744" s="134" t="n"/>
      <c r="T744" s="134" t="n"/>
      <c r="V744" s="134" t="n"/>
      <c r="X744" s="134" t="n"/>
    </row>
    <row r="745">
      <c r="L745" s="134" t="n"/>
      <c r="N745" s="134" t="n"/>
      <c r="P745" s="134" t="n"/>
      <c r="R745" s="134" t="n"/>
      <c r="T745" s="134" t="n"/>
      <c r="V745" s="134" t="n"/>
      <c r="X745" s="134" t="n"/>
    </row>
    <row r="746">
      <c r="L746" s="134" t="n"/>
      <c r="N746" s="134" t="n"/>
      <c r="P746" s="134" t="n"/>
      <c r="R746" s="134" t="n"/>
      <c r="T746" s="134" t="n"/>
      <c r="V746" s="134" t="n"/>
      <c r="X746" s="134" t="n"/>
    </row>
    <row r="747">
      <c r="L747" s="134" t="n"/>
      <c r="N747" s="134" t="n"/>
      <c r="P747" s="134" t="n"/>
      <c r="R747" s="134" t="n"/>
      <c r="T747" s="134" t="n"/>
      <c r="V747" s="134" t="n"/>
      <c r="X747" s="134" t="n"/>
    </row>
    <row r="748">
      <c r="L748" s="134" t="n"/>
      <c r="N748" s="134" t="n"/>
      <c r="P748" s="134" t="n"/>
      <c r="R748" s="134" t="n"/>
      <c r="T748" s="134" t="n"/>
      <c r="V748" s="134" t="n"/>
      <c r="X748" s="134" t="n"/>
    </row>
    <row r="749">
      <c r="L749" s="134" t="n"/>
      <c r="N749" s="134" t="n"/>
      <c r="P749" s="134" t="n"/>
      <c r="R749" s="134" t="n"/>
      <c r="T749" s="134" t="n"/>
      <c r="V749" s="134" t="n"/>
      <c r="X749" s="134" t="n"/>
    </row>
    <row r="750">
      <c r="L750" s="134" t="n"/>
      <c r="N750" s="134" t="n"/>
      <c r="P750" s="134" t="n"/>
      <c r="R750" s="134" t="n"/>
      <c r="T750" s="134" t="n"/>
      <c r="V750" s="134" t="n"/>
      <c r="X750" s="134" t="n"/>
    </row>
    <row r="751">
      <c r="L751" s="134" t="n"/>
      <c r="N751" s="134" t="n"/>
      <c r="P751" s="134" t="n"/>
      <c r="R751" s="134" t="n"/>
      <c r="T751" s="134" t="n"/>
      <c r="V751" s="134" t="n"/>
      <c r="X751" s="134" t="n"/>
    </row>
    <row r="752">
      <c r="L752" s="134" t="n"/>
      <c r="N752" s="134" t="n"/>
      <c r="P752" s="134" t="n"/>
      <c r="R752" s="134" t="n"/>
      <c r="T752" s="134" t="n"/>
      <c r="V752" s="134" t="n"/>
      <c r="X752" s="134" t="n"/>
    </row>
    <row r="753">
      <c r="L753" s="134" t="n"/>
      <c r="N753" s="134" t="n"/>
      <c r="P753" s="134" t="n"/>
      <c r="R753" s="134" t="n"/>
      <c r="T753" s="134" t="n"/>
      <c r="V753" s="134" t="n"/>
      <c r="X753" s="134" t="n"/>
    </row>
    <row r="754">
      <c r="L754" s="134" t="n"/>
      <c r="N754" s="134" t="n"/>
      <c r="P754" s="134" t="n"/>
      <c r="R754" s="134" t="n"/>
      <c r="T754" s="134" t="n"/>
      <c r="V754" s="134" t="n"/>
      <c r="X754" s="134" t="n"/>
    </row>
    <row r="755">
      <c r="L755" s="134" t="n"/>
      <c r="N755" s="134" t="n"/>
      <c r="P755" s="134" t="n"/>
      <c r="R755" s="134" t="n"/>
      <c r="T755" s="134" t="n"/>
      <c r="V755" s="134" t="n"/>
      <c r="X755" s="134" t="n"/>
    </row>
    <row r="756">
      <c r="L756" s="134" t="n"/>
      <c r="N756" s="134" t="n"/>
      <c r="P756" s="134" t="n"/>
      <c r="R756" s="134" t="n"/>
      <c r="T756" s="134" t="n"/>
      <c r="V756" s="134" t="n"/>
      <c r="X756" s="134" t="n"/>
    </row>
    <row r="757">
      <c r="L757" s="134" t="n"/>
      <c r="N757" s="134" t="n"/>
      <c r="P757" s="134" t="n"/>
      <c r="R757" s="134" t="n"/>
      <c r="T757" s="134" t="n"/>
      <c r="V757" s="134" t="n"/>
      <c r="X757" s="134" t="n"/>
    </row>
    <row r="758">
      <c r="L758" s="134" t="n"/>
      <c r="N758" s="134" t="n"/>
      <c r="P758" s="134" t="n"/>
      <c r="R758" s="134" t="n"/>
      <c r="T758" s="134" t="n"/>
      <c r="V758" s="134" t="n"/>
      <c r="X758" s="134" t="n"/>
    </row>
    <row r="759">
      <c r="L759" s="134" t="n"/>
      <c r="N759" s="134" t="n"/>
      <c r="P759" s="134" t="n"/>
      <c r="R759" s="134" t="n"/>
      <c r="T759" s="134" t="n"/>
      <c r="V759" s="134" t="n"/>
      <c r="X759" s="134" t="n"/>
    </row>
    <row r="760">
      <c r="L760" s="134" t="n"/>
      <c r="N760" s="134" t="n"/>
      <c r="P760" s="134" t="n"/>
      <c r="R760" s="134" t="n"/>
      <c r="T760" s="134" t="n"/>
      <c r="V760" s="134" t="n"/>
      <c r="X760" s="134" t="n"/>
    </row>
    <row r="761">
      <c r="L761" s="134" t="n"/>
      <c r="N761" s="134" t="n"/>
      <c r="P761" s="134" t="n"/>
      <c r="R761" s="134" t="n"/>
      <c r="T761" s="134" t="n"/>
      <c r="V761" s="134" t="n"/>
      <c r="X761" s="134" t="n"/>
    </row>
    <row r="762">
      <c r="L762" s="134" t="n"/>
      <c r="N762" s="134" t="n"/>
      <c r="P762" s="134" t="n"/>
      <c r="R762" s="134" t="n"/>
      <c r="T762" s="134" t="n"/>
      <c r="V762" s="134" t="n"/>
      <c r="X762" s="134" t="n"/>
    </row>
    <row r="763">
      <c r="L763" s="134" t="n"/>
      <c r="N763" s="134" t="n"/>
      <c r="P763" s="134" t="n"/>
      <c r="R763" s="134" t="n"/>
      <c r="T763" s="134" t="n"/>
      <c r="V763" s="134" t="n"/>
      <c r="X763" s="134" t="n"/>
    </row>
    <row r="764">
      <c r="L764" s="134" t="n"/>
      <c r="N764" s="134" t="n"/>
      <c r="P764" s="134" t="n"/>
      <c r="R764" s="134" t="n"/>
      <c r="T764" s="134" t="n"/>
      <c r="V764" s="134" t="n"/>
      <c r="X764" s="134" t="n"/>
    </row>
    <row r="765">
      <c r="L765" s="134" t="n"/>
      <c r="N765" s="134" t="n"/>
      <c r="P765" s="134" t="n"/>
      <c r="R765" s="134" t="n"/>
      <c r="T765" s="134" t="n"/>
      <c r="V765" s="134" t="n"/>
      <c r="X765" s="134" t="n"/>
    </row>
    <row r="766">
      <c r="L766" s="134" t="n"/>
      <c r="N766" s="134" t="n"/>
      <c r="P766" s="134" t="n"/>
      <c r="R766" s="134" t="n"/>
      <c r="T766" s="134" t="n"/>
      <c r="V766" s="134" t="n"/>
      <c r="X766" s="134" t="n"/>
    </row>
    <row r="767">
      <c r="L767" s="134" t="n"/>
      <c r="N767" s="134" t="n"/>
      <c r="P767" s="134" t="n"/>
      <c r="R767" s="134" t="n"/>
      <c r="T767" s="134" t="n"/>
      <c r="V767" s="134" t="n"/>
      <c r="X767" s="134" t="n"/>
    </row>
    <row r="768">
      <c r="L768" s="134" t="n"/>
      <c r="N768" s="134" t="n"/>
      <c r="P768" s="134" t="n"/>
      <c r="R768" s="134" t="n"/>
      <c r="T768" s="134" t="n"/>
      <c r="V768" s="134" t="n"/>
      <c r="X768" s="134" t="n"/>
    </row>
    <row r="769">
      <c r="L769" s="134" t="n"/>
      <c r="N769" s="134" t="n"/>
      <c r="P769" s="134" t="n"/>
      <c r="R769" s="134" t="n"/>
      <c r="T769" s="134" t="n"/>
      <c r="V769" s="134" t="n"/>
      <c r="X769" s="134" t="n"/>
    </row>
    <row r="770">
      <c r="L770" s="134" t="n"/>
      <c r="N770" s="134" t="n"/>
      <c r="P770" s="134" t="n"/>
      <c r="R770" s="134" t="n"/>
      <c r="T770" s="134" t="n"/>
      <c r="V770" s="134" t="n"/>
      <c r="X770" s="134" t="n"/>
    </row>
    <row r="771">
      <c r="L771" s="134" t="n"/>
      <c r="N771" s="134" t="n"/>
      <c r="P771" s="134" t="n"/>
      <c r="R771" s="134" t="n"/>
      <c r="T771" s="134" t="n"/>
      <c r="V771" s="134" t="n"/>
      <c r="X771" s="134" t="n"/>
    </row>
    <row r="772">
      <c r="L772" s="134" t="n"/>
      <c r="N772" s="134" t="n"/>
      <c r="P772" s="134" t="n"/>
      <c r="R772" s="134" t="n"/>
      <c r="T772" s="134" t="n"/>
      <c r="V772" s="134" t="n"/>
      <c r="X772" s="134" t="n"/>
    </row>
    <row r="773">
      <c r="L773" s="134" t="n"/>
      <c r="N773" s="134" t="n"/>
      <c r="P773" s="134" t="n"/>
      <c r="R773" s="134" t="n"/>
      <c r="T773" s="134" t="n"/>
      <c r="V773" s="134" t="n"/>
      <c r="X773" s="134" t="n"/>
    </row>
    <row r="774">
      <c r="L774" s="134" t="n"/>
      <c r="N774" s="134" t="n"/>
      <c r="P774" s="134" t="n"/>
      <c r="R774" s="134" t="n"/>
      <c r="T774" s="134" t="n"/>
      <c r="V774" s="134" t="n"/>
      <c r="X774" s="134" t="n"/>
    </row>
    <row r="775">
      <c r="L775" s="134" t="n"/>
      <c r="N775" s="134" t="n"/>
      <c r="P775" s="134" t="n"/>
      <c r="R775" s="134" t="n"/>
      <c r="T775" s="134" t="n"/>
      <c r="V775" s="134" t="n"/>
      <c r="X775" s="134" t="n"/>
    </row>
    <row r="776">
      <c r="L776" s="134" t="n"/>
      <c r="N776" s="134" t="n"/>
      <c r="P776" s="134" t="n"/>
      <c r="R776" s="134" t="n"/>
      <c r="T776" s="134" t="n"/>
      <c r="V776" s="134" t="n"/>
      <c r="X776" s="134" t="n"/>
    </row>
    <row r="777">
      <c r="L777" s="134" t="n"/>
      <c r="N777" s="134" t="n"/>
      <c r="P777" s="134" t="n"/>
      <c r="R777" s="134" t="n"/>
      <c r="T777" s="134" t="n"/>
      <c r="V777" s="134" t="n"/>
      <c r="X777" s="134" t="n"/>
    </row>
    <row r="778">
      <c r="L778" s="134" t="n"/>
      <c r="N778" s="134" t="n"/>
      <c r="P778" s="134" t="n"/>
      <c r="R778" s="134" t="n"/>
      <c r="T778" s="134" t="n"/>
      <c r="V778" s="134" t="n"/>
      <c r="X778" s="134" t="n"/>
    </row>
    <row r="779">
      <c r="L779" s="134" t="n"/>
      <c r="N779" s="134" t="n"/>
      <c r="P779" s="134" t="n"/>
      <c r="R779" s="134" t="n"/>
      <c r="T779" s="134" t="n"/>
      <c r="V779" s="134" t="n"/>
      <c r="X779" s="134" t="n"/>
    </row>
    <row r="780">
      <c r="L780" s="134" t="n"/>
      <c r="N780" s="134" t="n"/>
      <c r="P780" s="134" t="n"/>
      <c r="R780" s="134" t="n"/>
      <c r="T780" s="134" t="n"/>
      <c r="V780" s="134" t="n"/>
      <c r="X780" s="134" t="n"/>
    </row>
    <row r="781">
      <c r="L781" s="134" t="n"/>
      <c r="N781" s="134" t="n"/>
      <c r="P781" s="134" t="n"/>
      <c r="R781" s="134" t="n"/>
      <c r="T781" s="134" t="n"/>
      <c r="V781" s="134" t="n"/>
      <c r="X781" s="134" t="n"/>
    </row>
    <row r="782">
      <c r="L782" s="134" t="n"/>
      <c r="N782" s="134" t="n"/>
      <c r="P782" s="134" t="n"/>
      <c r="R782" s="134" t="n"/>
      <c r="T782" s="134" t="n"/>
      <c r="V782" s="134" t="n"/>
      <c r="X782" s="134" t="n"/>
    </row>
    <row r="783">
      <c r="L783" s="134" t="n"/>
      <c r="N783" s="134" t="n"/>
      <c r="P783" s="134" t="n"/>
      <c r="R783" s="134" t="n"/>
      <c r="T783" s="134" t="n"/>
      <c r="V783" s="134" t="n"/>
      <c r="X783" s="134" t="n"/>
    </row>
    <row r="784">
      <c r="L784" s="134" t="n"/>
      <c r="N784" s="134" t="n"/>
      <c r="P784" s="134" t="n"/>
      <c r="R784" s="134" t="n"/>
      <c r="T784" s="134" t="n"/>
      <c r="V784" s="134" t="n"/>
      <c r="X784" s="134" t="n"/>
    </row>
    <row r="785">
      <c r="L785" s="134" t="n"/>
      <c r="N785" s="134" t="n"/>
      <c r="P785" s="134" t="n"/>
      <c r="R785" s="134" t="n"/>
      <c r="T785" s="134" t="n"/>
      <c r="V785" s="134" t="n"/>
      <c r="X785" s="134" t="n"/>
    </row>
    <row r="786">
      <c r="L786" s="134" t="n"/>
      <c r="N786" s="134" t="n"/>
      <c r="P786" s="134" t="n"/>
      <c r="R786" s="134" t="n"/>
      <c r="T786" s="134" t="n"/>
      <c r="V786" s="134" t="n"/>
      <c r="X786" s="134" t="n"/>
    </row>
    <row r="787">
      <c r="L787" s="134" t="n"/>
      <c r="N787" s="134" t="n"/>
      <c r="P787" s="134" t="n"/>
      <c r="R787" s="134" t="n"/>
      <c r="T787" s="134" t="n"/>
      <c r="V787" s="134" t="n"/>
      <c r="X787" s="134" t="n"/>
    </row>
    <row r="788">
      <c r="L788" s="134" t="n"/>
      <c r="N788" s="134" t="n"/>
      <c r="P788" s="134" t="n"/>
      <c r="R788" s="134" t="n"/>
      <c r="T788" s="134" t="n"/>
      <c r="V788" s="134" t="n"/>
      <c r="X788" s="134" t="n"/>
    </row>
    <row r="789">
      <c r="L789" s="134" t="n"/>
      <c r="N789" s="134" t="n"/>
      <c r="P789" s="134" t="n"/>
      <c r="R789" s="134" t="n"/>
      <c r="T789" s="134" t="n"/>
      <c r="V789" s="134" t="n"/>
      <c r="X789" s="134" t="n"/>
    </row>
    <row r="790">
      <c r="L790" s="134" t="n"/>
      <c r="N790" s="134" t="n"/>
      <c r="P790" s="134" t="n"/>
      <c r="R790" s="134" t="n"/>
      <c r="T790" s="134" t="n"/>
      <c r="V790" s="134" t="n"/>
      <c r="X790" s="134" t="n"/>
    </row>
    <row r="791">
      <c r="L791" s="134" t="n"/>
      <c r="N791" s="134" t="n"/>
      <c r="P791" s="134" t="n"/>
      <c r="R791" s="134" t="n"/>
      <c r="T791" s="134" t="n"/>
      <c r="V791" s="134" t="n"/>
      <c r="X791" s="134" t="n"/>
    </row>
    <row r="792">
      <c r="L792" s="134" t="n"/>
      <c r="N792" s="134" t="n"/>
      <c r="P792" s="134" t="n"/>
      <c r="R792" s="134" t="n"/>
      <c r="T792" s="134" t="n"/>
      <c r="V792" s="134" t="n"/>
      <c r="X792" s="134" t="n"/>
    </row>
    <row r="793">
      <c r="L793" s="134" t="n"/>
      <c r="N793" s="134" t="n"/>
      <c r="P793" s="134" t="n"/>
      <c r="R793" s="134" t="n"/>
      <c r="T793" s="134" t="n"/>
      <c r="V793" s="134" t="n"/>
      <c r="X793" s="134" t="n"/>
    </row>
    <row r="794">
      <c r="L794" s="134" t="n"/>
      <c r="N794" s="134" t="n"/>
      <c r="P794" s="134" t="n"/>
      <c r="R794" s="134" t="n"/>
      <c r="T794" s="134" t="n"/>
      <c r="V794" s="134" t="n"/>
      <c r="X794" s="134" t="n"/>
    </row>
    <row r="795">
      <c r="L795" s="134" t="n"/>
      <c r="N795" s="134" t="n"/>
      <c r="P795" s="134" t="n"/>
      <c r="R795" s="134" t="n"/>
      <c r="T795" s="134" t="n"/>
      <c r="V795" s="134" t="n"/>
      <c r="X795" s="134" t="n"/>
    </row>
    <row r="796">
      <c r="L796" s="134" t="n"/>
      <c r="N796" s="134" t="n"/>
      <c r="P796" s="134" t="n"/>
      <c r="R796" s="134" t="n"/>
      <c r="T796" s="134" t="n"/>
      <c r="V796" s="134" t="n"/>
      <c r="X796" s="134" t="n"/>
    </row>
    <row r="797">
      <c r="L797" s="134" t="n"/>
      <c r="N797" s="134" t="n"/>
      <c r="P797" s="134" t="n"/>
      <c r="R797" s="134" t="n"/>
      <c r="T797" s="134" t="n"/>
      <c r="V797" s="134" t="n"/>
      <c r="X797" s="134" t="n"/>
    </row>
    <row r="798">
      <c r="L798" s="134" t="n"/>
      <c r="N798" s="134" t="n"/>
      <c r="P798" s="134" t="n"/>
      <c r="R798" s="134" t="n"/>
      <c r="T798" s="134" t="n"/>
      <c r="V798" s="134" t="n"/>
      <c r="X798" s="134" t="n"/>
    </row>
    <row r="799">
      <c r="L799" s="134" t="n"/>
      <c r="N799" s="134" t="n"/>
      <c r="P799" s="134" t="n"/>
      <c r="R799" s="134" t="n"/>
      <c r="T799" s="134" t="n"/>
      <c r="V799" s="134" t="n"/>
      <c r="X799" s="134" t="n"/>
    </row>
    <row r="800">
      <c r="L800" s="134" t="n"/>
      <c r="N800" s="134" t="n"/>
      <c r="P800" s="134" t="n"/>
      <c r="R800" s="134" t="n"/>
      <c r="T800" s="134" t="n"/>
      <c r="V800" s="134" t="n"/>
      <c r="X800" s="134" t="n"/>
    </row>
    <row r="801">
      <c r="L801" s="134" t="n"/>
      <c r="N801" s="134" t="n"/>
      <c r="P801" s="134" t="n"/>
      <c r="R801" s="134" t="n"/>
      <c r="T801" s="134" t="n"/>
      <c r="V801" s="134" t="n"/>
      <c r="X801" s="134" t="n"/>
    </row>
    <row r="802">
      <c r="L802" s="134" t="n"/>
      <c r="N802" s="134" t="n"/>
      <c r="P802" s="134" t="n"/>
      <c r="R802" s="134" t="n"/>
      <c r="T802" s="134" t="n"/>
      <c r="V802" s="134" t="n"/>
      <c r="X802" s="134" t="n"/>
    </row>
    <row r="803">
      <c r="L803" s="134" t="n"/>
      <c r="N803" s="134" t="n"/>
      <c r="P803" s="134" t="n"/>
      <c r="R803" s="134" t="n"/>
      <c r="T803" s="134" t="n"/>
      <c r="V803" s="134" t="n"/>
      <c r="X803" s="134" t="n"/>
    </row>
    <row r="804">
      <c r="L804" s="134" t="n"/>
      <c r="N804" s="134" t="n"/>
      <c r="P804" s="134" t="n"/>
      <c r="R804" s="134" t="n"/>
      <c r="T804" s="134" t="n"/>
      <c r="V804" s="134" t="n"/>
      <c r="X804" s="134" t="n"/>
    </row>
    <row r="805">
      <c r="L805" s="134" t="n"/>
      <c r="N805" s="134" t="n"/>
      <c r="P805" s="134" t="n"/>
      <c r="R805" s="134" t="n"/>
      <c r="T805" s="134" t="n"/>
      <c r="V805" s="134" t="n"/>
      <c r="X805" s="134" t="n"/>
    </row>
    <row r="806">
      <c r="L806" s="134" t="n"/>
      <c r="N806" s="134" t="n"/>
      <c r="P806" s="134" t="n"/>
      <c r="R806" s="134" t="n"/>
      <c r="T806" s="134" t="n"/>
      <c r="V806" s="134" t="n"/>
      <c r="X806" s="134" t="n"/>
    </row>
    <row r="807">
      <c r="L807" s="134" t="n"/>
      <c r="N807" s="134" t="n"/>
      <c r="P807" s="134" t="n"/>
      <c r="R807" s="134" t="n"/>
      <c r="T807" s="134" t="n"/>
      <c r="V807" s="134" t="n"/>
      <c r="X807" s="134" t="n"/>
    </row>
    <row r="808">
      <c r="L808" s="134" t="n"/>
      <c r="N808" s="134" t="n"/>
      <c r="P808" s="134" t="n"/>
      <c r="R808" s="134" t="n"/>
      <c r="T808" s="134" t="n"/>
      <c r="V808" s="134" t="n"/>
      <c r="X808" s="134" t="n"/>
    </row>
    <row r="809">
      <c r="L809" s="134" t="n"/>
      <c r="N809" s="134" t="n"/>
      <c r="P809" s="134" t="n"/>
      <c r="R809" s="134" t="n"/>
      <c r="T809" s="134" t="n"/>
      <c r="V809" s="134" t="n"/>
      <c r="X809" s="134" t="n"/>
    </row>
    <row r="810">
      <c r="L810" s="134" t="n"/>
      <c r="N810" s="134" t="n"/>
      <c r="P810" s="134" t="n"/>
      <c r="R810" s="134" t="n"/>
      <c r="T810" s="134" t="n"/>
      <c r="V810" s="134" t="n"/>
      <c r="X810" s="134" t="n"/>
    </row>
    <row r="811">
      <c r="L811" s="134" t="n"/>
      <c r="N811" s="134" t="n"/>
      <c r="P811" s="134" t="n"/>
      <c r="R811" s="134" t="n"/>
      <c r="T811" s="134" t="n"/>
      <c r="V811" s="134" t="n"/>
      <c r="X811" s="134" t="n"/>
    </row>
    <row r="812">
      <c r="L812" s="134" t="n"/>
      <c r="N812" s="134" t="n"/>
      <c r="P812" s="134" t="n"/>
      <c r="R812" s="134" t="n"/>
      <c r="T812" s="134" t="n"/>
      <c r="V812" s="134" t="n"/>
      <c r="X812" s="134" t="n"/>
    </row>
    <row r="813">
      <c r="L813" s="134" t="n"/>
      <c r="N813" s="134" t="n"/>
      <c r="P813" s="134" t="n"/>
      <c r="R813" s="134" t="n"/>
      <c r="T813" s="134" t="n"/>
      <c r="V813" s="134" t="n"/>
      <c r="X813" s="134" t="n"/>
    </row>
    <row r="814">
      <c r="L814" s="134" t="n"/>
      <c r="N814" s="134" t="n"/>
      <c r="P814" s="134" t="n"/>
      <c r="R814" s="134" t="n"/>
      <c r="T814" s="134" t="n"/>
      <c r="V814" s="134" t="n"/>
      <c r="X814" s="134" t="n"/>
    </row>
    <row r="815">
      <c r="L815" s="134" t="n"/>
      <c r="N815" s="134" t="n"/>
      <c r="P815" s="134" t="n"/>
      <c r="R815" s="134" t="n"/>
      <c r="T815" s="134" t="n"/>
      <c r="V815" s="134" t="n"/>
      <c r="X815" s="134" t="n"/>
    </row>
    <row r="816">
      <c r="L816" s="134" t="n"/>
      <c r="N816" s="134" t="n"/>
      <c r="P816" s="134" t="n"/>
      <c r="R816" s="134" t="n"/>
      <c r="T816" s="134" t="n"/>
      <c r="V816" s="134" t="n"/>
      <c r="X816" s="134" t="n"/>
    </row>
    <row r="817">
      <c r="L817" s="134" t="n"/>
      <c r="N817" s="134" t="n"/>
      <c r="P817" s="134" t="n"/>
      <c r="R817" s="134" t="n"/>
      <c r="T817" s="134" t="n"/>
      <c r="V817" s="134" t="n"/>
      <c r="X817" s="134" t="n"/>
    </row>
    <row r="818">
      <c r="L818" s="134" t="n"/>
      <c r="N818" s="134" t="n"/>
      <c r="P818" s="134" t="n"/>
      <c r="R818" s="134" t="n"/>
      <c r="T818" s="134" t="n"/>
      <c r="V818" s="134" t="n"/>
      <c r="X818" s="134" t="n"/>
    </row>
    <row r="819">
      <c r="L819" s="134" t="n"/>
      <c r="N819" s="134" t="n"/>
      <c r="P819" s="134" t="n"/>
      <c r="R819" s="134" t="n"/>
      <c r="T819" s="134" t="n"/>
      <c r="V819" s="134" t="n"/>
      <c r="X819" s="134" t="n"/>
    </row>
    <row r="820">
      <c r="L820" s="134" t="n"/>
      <c r="N820" s="134" t="n"/>
      <c r="P820" s="134" t="n"/>
      <c r="R820" s="134" t="n"/>
      <c r="T820" s="134" t="n"/>
      <c r="V820" s="134" t="n"/>
      <c r="X820" s="134" t="n"/>
    </row>
    <row r="821">
      <c r="L821" s="134" t="n"/>
      <c r="N821" s="134" t="n"/>
      <c r="P821" s="134" t="n"/>
      <c r="R821" s="134" t="n"/>
      <c r="T821" s="134" t="n"/>
      <c r="V821" s="134" t="n"/>
      <c r="X821" s="134" t="n"/>
    </row>
    <row r="822">
      <c r="L822" s="134" t="n"/>
      <c r="N822" s="134" t="n"/>
      <c r="P822" s="134" t="n"/>
      <c r="R822" s="134" t="n"/>
      <c r="T822" s="134" t="n"/>
      <c r="V822" s="134" t="n"/>
      <c r="X822" s="134" t="n"/>
    </row>
    <row r="823">
      <c r="L823" s="134" t="n"/>
      <c r="N823" s="134" t="n"/>
      <c r="P823" s="134" t="n"/>
      <c r="R823" s="134" t="n"/>
      <c r="T823" s="134" t="n"/>
      <c r="V823" s="134" t="n"/>
      <c r="X823" s="134" t="n"/>
    </row>
    <row r="824">
      <c r="L824" s="134" t="n"/>
      <c r="N824" s="134" t="n"/>
      <c r="P824" s="134" t="n"/>
      <c r="R824" s="134" t="n"/>
      <c r="T824" s="134" t="n"/>
      <c r="V824" s="134" t="n"/>
      <c r="X824" s="134" t="n"/>
    </row>
    <row r="825">
      <c r="L825" s="134" t="n"/>
      <c r="N825" s="134" t="n"/>
      <c r="P825" s="134" t="n"/>
      <c r="R825" s="134" t="n"/>
      <c r="T825" s="134" t="n"/>
      <c r="V825" s="134" t="n"/>
      <c r="X825" s="134" t="n"/>
    </row>
    <row r="826">
      <c r="L826" s="134" t="n"/>
      <c r="N826" s="134" t="n"/>
      <c r="P826" s="134" t="n"/>
      <c r="R826" s="134" t="n"/>
      <c r="T826" s="134" t="n"/>
      <c r="V826" s="134" t="n"/>
      <c r="X826" s="134" t="n"/>
    </row>
    <row r="827">
      <c r="L827" s="134" t="n"/>
      <c r="N827" s="134" t="n"/>
      <c r="P827" s="134" t="n"/>
      <c r="R827" s="134" t="n"/>
      <c r="T827" s="134" t="n"/>
      <c r="V827" s="134" t="n"/>
      <c r="X827" s="134" t="n"/>
    </row>
    <row r="828">
      <c r="L828" s="134" t="n"/>
      <c r="N828" s="134" t="n"/>
      <c r="P828" s="134" t="n"/>
      <c r="R828" s="134" t="n"/>
      <c r="T828" s="134" t="n"/>
      <c r="V828" s="134" t="n"/>
      <c r="X828" s="134" t="n"/>
    </row>
    <row r="829">
      <c r="L829" s="134" t="n"/>
      <c r="N829" s="134" t="n"/>
      <c r="P829" s="134" t="n"/>
      <c r="R829" s="134" t="n"/>
      <c r="T829" s="134" t="n"/>
      <c r="V829" s="134" t="n"/>
      <c r="X829" s="134" t="n"/>
    </row>
    <row r="830">
      <c r="L830" s="134" t="n"/>
      <c r="N830" s="134" t="n"/>
      <c r="P830" s="134" t="n"/>
      <c r="R830" s="134" t="n"/>
      <c r="T830" s="134" t="n"/>
      <c r="V830" s="134" t="n"/>
      <c r="X830" s="134" t="n"/>
    </row>
    <row r="831">
      <c r="L831" s="134" t="n"/>
      <c r="N831" s="134" t="n"/>
      <c r="P831" s="134" t="n"/>
      <c r="R831" s="134" t="n"/>
      <c r="T831" s="134" t="n"/>
      <c r="V831" s="134" t="n"/>
      <c r="X831" s="134" t="n"/>
    </row>
    <row r="832">
      <c r="L832" s="134" t="n"/>
      <c r="N832" s="134" t="n"/>
      <c r="P832" s="134" t="n"/>
      <c r="R832" s="134" t="n"/>
      <c r="T832" s="134" t="n"/>
      <c r="V832" s="134" t="n"/>
      <c r="X832" s="134" t="n"/>
    </row>
    <row r="833">
      <c r="L833" s="134" t="n"/>
      <c r="N833" s="134" t="n"/>
      <c r="P833" s="134" t="n"/>
      <c r="R833" s="134" t="n"/>
      <c r="T833" s="134" t="n"/>
      <c r="V833" s="134" t="n"/>
      <c r="X833" s="134" t="n"/>
    </row>
    <row r="834">
      <c r="L834" s="134" t="n"/>
      <c r="N834" s="134" t="n"/>
      <c r="P834" s="134" t="n"/>
      <c r="R834" s="134" t="n"/>
      <c r="T834" s="134" t="n"/>
      <c r="V834" s="134" t="n"/>
      <c r="X834" s="134" t="n"/>
    </row>
    <row r="835">
      <c r="L835" s="134" t="n"/>
      <c r="N835" s="134" t="n"/>
      <c r="P835" s="134" t="n"/>
      <c r="R835" s="134" t="n"/>
      <c r="T835" s="134" t="n"/>
      <c r="V835" s="134" t="n"/>
      <c r="X835" s="134" t="n"/>
    </row>
    <row r="836">
      <c r="L836" s="134" t="n"/>
      <c r="N836" s="134" t="n"/>
      <c r="P836" s="134" t="n"/>
      <c r="R836" s="134" t="n"/>
      <c r="T836" s="134" t="n"/>
      <c r="V836" s="134" t="n"/>
      <c r="X836" s="134" t="n"/>
    </row>
    <row r="837">
      <c r="L837" s="134" t="n"/>
      <c r="N837" s="134" t="n"/>
      <c r="P837" s="134" t="n"/>
      <c r="R837" s="134" t="n"/>
      <c r="T837" s="134" t="n"/>
      <c r="V837" s="134" t="n"/>
      <c r="X837" s="134" t="n"/>
    </row>
    <row r="838">
      <c r="L838" s="134" t="n"/>
      <c r="N838" s="134" t="n"/>
      <c r="P838" s="134" t="n"/>
      <c r="R838" s="134" t="n"/>
      <c r="T838" s="134" t="n"/>
      <c r="V838" s="134" t="n"/>
      <c r="X838" s="134" t="n"/>
    </row>
    <row r="839">
      <c r="L839" s="134" t="n"/>
      <c r="N839" s="134" t="n"/>
      <c r="P839" s="134" t="n"/>
      <c r="R839" s="134" t="n"/>
      <c r="T839" s="134" t="n"/>
      <c r="V839" s="134" t="n"/>
      <c r="X839" s="134" t="n"/>
    </row>
    <row r="840">
      <c r="L840" s="134" t="n"/>
      <c r="N840" s="134" t="n"/>
      <c r="P840" s="134" t="n"/>
      <c r="R840" s="134" t="n"/>
      <c r="T840" s="134" t="n"/>
      <c r="V840" s="134" t="n"/>
      <c r="X840" s="134" t="n"/>
    </row>
    <row r="841">
      <c r="L841" s="134" t="n"/>
      <c r="N841" s="134" t="n"/>
      <c r="P841" s="134" t="n"/>
      <c r="R841" s="134" t="n"/>
      <c r="T841" s="134" t="n"/>
      <c r="V841" s="134" t="n"/>
      <c r="X841" s="134" t="n"/>
    </row>
    <row r="842">
      <c r="L842" s="134" t="n"/>
      <c r="N842" s="134" t="n"/>
      <c r="P842" s="134" t="n"/>
      <c r="R842" s="134" t="n"/>
      <c r="T842" s="134" t="n"/>
      <c r="V842" s="134" t="n"/>
      <c r="X842" s="134" t="n"/>
    </row>
    <row r="843">
      <c r="L843" s="134" t="n"/>
      <c r="N843" s="134" t="n"/>
      <c r="P843" s="134" t="n"/>
      <c r="R843" s="134" t="n"/>
      <c r="T843" s="134" t="n"/>
      <c r="V843" s="134" t="n"/>
      <c r="X843" s="134" t="n"/>
    </row>
    <row r="844">
      <c r="L844" s="134" t="n"/>
      <c r="N844" s="134" t="n"/>
      <c r="P844" s="134" t="n"/>
      <c r="R844" s="134" t="n"/>
      <c r="T844" s="134" t="n"/>
      <c r="V844" s="134" t="n"/>
      <c r="X844" s="134" t="n"/>
    </row>
    <row r="845">
      <c r="L845" s="134" t="n"/>
      <c r="N845" s="134" t="n"/>
      <c r="P845" s="134" t="n"/>
      <c r="R845" s="134" t="n"/>
      <c r="T845" s="134" t="n"/>
      <c r="V845" s="134" t="n"/>
      <c r="X845" s="134" t="n"/>
    </row>
    <row r="846">
      <c r="L846" s="134" t="n"/>
      <c r="N846" s="134" t="n"/>
      <c r="P846" s="134" t="n"/>
      <c r="R846" s="134" t="n"/>
      <c r="T846" s="134" t="n"/>
      <c r="V846" s="134" t="n"/>
      <c r="X846" s="134" t="n"/>
    </row>
    <row r="847">
      <c r="L847" s="134" t="n"/>
      <c r="N847" s="134" t="n"/>
      <c r="P847" s="134" t="n"/>
      <c r="R847" s="134" t="n"/>
      <c r="T847" s="134" t="n"/>
      <c r="V847" s="134" t="n"/>
      <c r="X847" s="134" t="n"/>
    </row>
    <row r="848">
      <c r="L848" s="134" t="n"/>
      <c r="N848" s="134" t="n"/>
      <c r="P848" s="134" t="n"/>
      <c r="R848" s="134" t="n"/>
      <c r="T848" s="134" t="n"/>
      <c r="V848" s="134" t="n"/>
      <c r="X848" s="134" t="n"/>
    </row>
    <row r="849">
      <c r="L849" s="134" t="n"/>
      <c r="N849" s="134" t="n"/>
      <c r="P849" s="134" t="n"/>
      <c r="R849" s="134" t="n"/>
      <c r="T849" s="134" t="n"/>
      <c r="V849" s="134" t="n"/>
      <c r="X849" s="134" t="n"/>
    </row>
    <row r="850">
      <c r="L850" s="134" t="n"/>
      <c r="N850" s="134" t="n"/>
      <c r="P850" s="134" t="n"/>
      <c r="R850" s="134" t="n"/>
      <c r="T850" s="134" t="n"/>
      <c r="V850" s="134" t="n"/>
      <c r="X850" s="134" t="n"/>
    </row>
    <row r="851">
      <c r="L851" s="134" t="n"/>
      <c r="N851" s="134" t="n"/>
      <c r="P851" s="134" t="n"/>
      <c r="R851" s="134" t="n"/>
      <c r="T851" s="134" t="n"/>
      <c r="V851" s="134" t="n"/>
      <c r="X851" s="134" t="n"/>
    </row>
    <row r="852">
      <c r="L852" s="134" t="n"/>
      <c r="N852" s="134" t="n"/>
      <c r="P852" s="134" t="n"/>
      <c r="R852" s="134" t="n"/>
      <c r="T852" s="134" t="n"/>
      <c r="V852" s="134" t="n"/>
      <c r="X852" s="134" t="n"/>
    </row>
    <row r="853">
      <c r="L853" s="134" t="n"/>
      <c r="N853" s="134" t="n"/>
      <c r="P853" s="134" t="n"/>
      <c r="R853" s="134" t="n"/>
      <c r="T853" s="134" t="n"/>
      <c r="V853" s="134" t="n"/>
      <c r="X853" s="134" t="n"/>
    </row>
    <row r="854">
      <c r="L854" s="134" t="n"/>
      <c r="N854" s="134" t="n"/>
      <c r="P854" s="134" t="n"/>
      <c r="R854" s="134" t="n"/>
      <c r="T854" s="134" t="n"/>
      <c r="V854" s="134" t="n"/>
      <c r="X854" s="134" t="n"/>
    </row>
    <row r="855">
      <c r="L855" s="134" t="n"/>
      <c r="N855" s="134" t="n"/>
      <c r="P855" s="134" t="n"/>
      <c r="R855" s="134" t="n"/>
      <c r="T855" s="134" t="n"/>
      <c r="V855" s="134" t="n"/>
      <c r="X855" s="134" t="n"/>
    </row>
    <row r="856">
      <c r="L856" s="134" t="n"/>
      <c r="N856" s="134" t="n"/>
      <c r="P856" s="134" t="n"/>
      <c r="R856" s="134" t="n"/>
      <c r="T856" s="134" t="n"/>
      <c r="V856" s="134" t="n"/>
      <c r="X856" s="134" t="n"/>
    </row>
    <row r="857">
      <c r="L857" s="134" t="n"/>
      <c r="N857" s="134" t="n"/>
      <c r="P857" s="134" t="n"/>
      <c r="R857" s="134" t="n"/>
      <c r="T857" s="134" t="n"/>
      <c r="V857" s="134" t="n"/>
      <c r="X857" s="134" t="n"/>
    </row>
    <row r="858">
      <c r="L858" s="134" t="n"/>
      <c r="N858" s="134" t="n"/>
      <c r="P858" s="134" t="n"/>
      <c r="R858" s="134" t="n"/>
      <c r="T858" s="134" t="n"/>
      <c r="V858" s="134" t="n"/>
      <c r="X858" s="134" t="n"/>
    </row>
    <row r="859">
      <c r="L859" s="134" t="n"/>
      <c r="N859" s="134" t="n"/>
      <c r="P859" s="134" t="n"/>
      <c r="R859" s="134" t="n"/>
      <c r="T859" s="134" t="n"/>
      <c r="V859" s="134" t="n"/>
      <c r="X859" s="134" t="n"/>
    </row>
    <row r="860">
      <c r="L860" s="134" t="n"/>
      <c r="N860" s="134" t="n"/>
      <c r="P860" s="134" t="n"/>
      <c r="R860" s="134" t="n"/>
      <c r="T860" s="134" t="n"/>
      <c r="V860" s="134" t="n"/>
      <c r="X860" s="134" t="n"/>
    </row>
    <row r="861">
      <c r="L861" s="134" t="n"/>
      <c r="N861" s="134" t="n"/>
      <c r="P861" s="134" t="n"/>
      <c r="R861" s="134" t="n"/>
      <c r="T861" s="134" t="n"/>
      <c r="V861" s="134" t="n"/>
      <c r="X861" s="134" t="n"/>
    </row>
    <row r="862">
      <c r="L862" s="134" t="n"/>
      <c r="N862" s="134" t="n"/>
      <c r="P862" s="134" t="n"/>
      <c r="R862" s="134" t="n"/>
      <c r="T862" s="134" t="n"/>
      <c r="V862" s="134" t="n"/>
      <c r="X862" s="134" t="n"/>
    </row>
    <row r="863">
      <c r="L863" s="134" t="n"/>
      <c r="N863" s="134" t="n"/>
      <c r="P863" s="134" t="n"/>
      <c r="R863" s="134" t="n"/>
      <c r="T863" s="134" t="n"/>
      <c r="V863" s="134" t="n"/>
      <c r="X863" s="134" t="n"/>
    </row>
    <row r="864">
      <c r="L864" s="134" t="n"/>
      <c r="N864" s="134" t="n"/>
      <c r="P864" s="134" t="n"/>
      <c r="R864" s="134" t="n"/>
      <c r="T864" s="134" t="n"/>
      <c r="V864" s="134" t="n"/>
      <c r="X864" s="134" t="n"/>
    </row>
    <row r="865">
      <c r="L865" s="134" t="n"/>
      <c r="N865" s="134" t="n"/>
      <c r="P865" s="134" t="n"/>
      <c r="R865" s="134" t="n"/>
      <c r="T865" s="134" t="n"/>
      <c r="V865" s="134" t="n"/>
      <c r="X865" s="134" t="n"/>
    </row>
    <row r="866">
      <c r="L866" s="134" t="n"/>
      <c r="N866" s="134" t="n"/>
      <c r="P866" s="134" t="n"/>
      <c r="R866" s="134" t="n"/>
      <c r="T866" s="134" t="n"/>
      <c r="V866" s="134" t="n"/>
      <c r="X866" s="134" t="n"/>
    </row>
    <row r="867">
      <c r="L867" s="134" t="n"/>
      <c r="N867" s="134" t="n"/>
      <c r="P867" s="134" t="n"/>
      <c r="R867" s="134" t="n"/>
      <c r="T867" s="134" t="n"/>
      <c r="V867" s="134" t="n"/>
      <c r="X867" s="134" t="n"/>
    </row>
    <row r="868">
      <c r="L868" s="134" t="n"/>
      <c r="N868" s="134" t="n"/>
      <c r="P868" s="134" t="n"/>
      <c r="R868" s="134" t="n"/>
      <c r="T868" s="134" t="n"/>
      <c r="V868" s="134" t="n"/>
      <c r="X868" s="134" t="n"/>
    </row>
    <row r="869">
      <c r="L869" s="134" t="n"/>
      <c r="N869" s="134" t="n"/>
      <c r="P869" s="134" t="n"/>
      <c r="R869" s="134" t="n"/>
      <c r="T869" s="134" t="n"/>
      <c r="V869" s="134" t="n"/>
      <c r="X869" s="134" t="n"/>
    </row>
    <row r="870">
      <c r="L870" s="134" t="n"/>
      <c r="N870" s="134" t="n"/>
      <c r="P870" s="134" t="n"/>
      <c r="R870" s="134" t="n"/>
      <c r="T870" s="134" t="n"/>
      <c r="V870" s="134" t="n"/>
      <c r="X870" s="134" t="n"/>
    </row>
    <row r="871">
      <c r="L871" s="134" t="n"/>
      <c r="N871" s="134" t="n"/>
      <c r="P871" s="134" t="n"/>
      <c r="R871" s="134" t="n"/>
      <c r="T871" s="134" t="n"/>
      <c r="V871" s="134" t="n"/>
      <c r="X871" s="134" t="n"/>
    </row>
    <row r="872">
      <c r="L872" s="134" t="n"/>
      <c r="N872" s="134" t="n"/>
      <c r="P872" s="134" t="n"/>
      <c r="R872" s="134" t="n"/>
      <c r="T872" s="134" t="n"/>
      <c r="V872" s="134" t="n"/>
      <c r="X872" s="134" t="n"/>
    </row>
    <row r="873">
      <c r="L873" s="134" t="n"/>
      <c r="N873" s="134" t="n"/>
      <c r="P873" s="134" t="n"/>
      <c r="R873" s="134" t="n"/>
      <c r="T873" s="134" t="n"/>
      <c r="V873" s="134" t="n"/>
      <c r="X873" s="134" t="n"/>
    </row>
    <row r="874">
      <c r="L874" s="134" t="n"/>
      <c r="N874" s="134" t="n"/>
      <c r="P874" s="134" t="n"/>
      <c r="R874" s="134" t="n"/>
      <c r="T874" s="134" t="n"/>
      <c r="V874" s="134" t="n"/>
      <c r="X874" s="134" t="n"/>
    </row>
    <row r="875">
      <c r="L875" s="134" t="n"/>
      <c r="N875" s="134" t="n"/>
      <c r="P875" s="134" t="n"/>
      <c r="R875" s="134" t="n"/>
      <c r="T875" s="134" t="n"/>
      <c r="V875" s="134" t="n"/>
      <c r="X875" s="134" t="n"/>
    </row>
    <row r="876">
      <c r="L876" s="134" t="n"/>
      <c r="N876" s="134" t="n"/>
      <c r="P876" s="134" t="n"/>
      <c r="R876" s="134" t="n"/>
      <c r="T876" s="134" t="n"/>
      <c r="V876" s="134" t="n"/>
      <c r="X876" s="134" t="n"/>
    </row>
    <row r="877">
      <c r="L877" s="134" t="n"/>
      <c r="N877" s="134" t="n"/>
      <c r="P877" s="134" t="n"/>
      <c r="R877" s="134" t="n"/>
      <c r="T877" s="134" t="n"/>
      <c r="V877" s="134" t="n"/>
      <c r="X877" s="134" t="n"/>
    </row>
    <row r="878">
      <c r="L878" s="134" t="n"/>
      <c r="N878" s="134" t="n"/>
      <c r="P878" s="134" t="n"/>
      <c r="R878" s="134" t="n"/>
      <c r="T878" s="134" t="n"/>
      <c r="V878" s="134" t="n"/>
      <c r="X878" s="134" t="n"/>
    </row>
    <row r="879">
      <c r="L879" s="134" t="n"/>
      <c r="N879" s="134" t="n"/>
      <c r="P879" s="134" t="n"/>
      <c r="R879" s="134" t="n"/>
      <c r="T879" s="134" t="n"/>
      <c r="V879" s="134" t="n"/>
      <c r="X879" s="134" t="n"/>
    </row>
    <row r="880">
      <c r="L880" s="134" t="n"/>
      <c r="N880" s="134" t="n"/>
      <c r="P880" s="134" t="n"/>
      <c r="R880" s="134" t="n"/>
      <c r="T880" s="134" t="n"/>
      <c r="V880" s="134" t="n"/>
      <c r="X880" s="134" t="n"/>
    </row>
    <row r="881">
      <c r="L881" s="134" t="n"/>
      <c r="N881" s="134" t="n"/>
      <c r="P881" s="134" t="n"/>
      <c r="R881" s="134" t="n"/>
      <c r="T881" s="134" t="n"/>
      <c r="V881" s="134" t="n"/>
      <c r="X881" s="134" t="n"/>
    </row>
    <row r="882">
      <c r="L882" s="134" t="n"/>
      <c r="N882" s="134" t="n"/>
      <c r="P882" s="134" t="n"/>
      <c r="R882" s="134" t="n"/>
      <c r="T882" s="134" t="n"/>
      <c r="V882" s="134" t="n"/>
      <c r="X882" s="134" t="n"/>
    </row>
    <row r="883">
      <c r="L883" s="134" t="n"/>
      <c r="N883" s="134" t="n"/>
      <c r="P883" s="134" t="n"/>
      <c r="R883" s="134" t="n"/>
      <c r="T883" s="134" t="n"/>
      <c r="V883" s="134" t="n"/>
      <c r="X883" s="134" t="n"/>
    </row>
    <row r="884">
      <c r="L884" s="134" t="n"/>
      <c r="N884" s="134" t="n"/>
      <c r="P884" s="134" t="n"/>
      <c r="R884" s="134" t="n"/>
      <c r="T884" s="134" t="n"/>
      <c r="V884" s="134" t="n"/>
      <c r="X884" s="134" t="n"/>
    </row>
    <row r="885">
      <c r="L885" s="134" t="n"/>
      <c r="N885" s="134" t="n"/>
      <c r="P885" s="134" t="n"/>
      <c r="R885" s="134" t="n"/>
      <c r="T885" s="134" t="n"/>
      <c r="V885" s="134" t="n"/>
      <c r="X885" s="134" t="n"/>
    </row>
    <row r="886">
      <c r="L886" s="134" t="n"/>
      <c r="N886" s="134" t="n"/>
      <c r="P886" s="134" t="n"/>
      <c r="R886" s="134" t="n"/>
      <c r="T886" s="134" t="n"/>
      <c r="V886" s="134" t="n"/>
      <c r="X886" s="134" t="n"/>
    </row>
    <row r="887">
      <c r="L887" s="134" t="n"/>
      <c r="N887" s="134" t="n"/>
      <c r="P887" s="134" t="n"/>
      <c r="R887" s="134" t="n"/>
      <c r="T887" s="134" t="n"/>
      <c r="V887" s="134" t="n"/>
      <c r="X887" s="134" t="n"/>
    </row>
    <row r="888">
      <c r="L888" s="134" t="n"/>
      <c r="N888" s="134" t="n"/>
      <c r="P888" s="134" t="n"/>
      <c r="R888" s="134" t="n"/>
      <c r="T888" s="134" t="n"/>
      <c r="V888" s="134" t="n"/>
      <c r="X888" s="134" t="n"/>
    </row>
    <row r="889">
      <c r="L889" s="134" t="n"/>
      <c r="N889" s="134" t="n"/>
      <c r="P889" s="134" t="n"/>
      <c r="R889" s="134" t="n"/>
      <c r="T889" s="134" t="n"/>
      <c r="V889" s="134" t="n"/>
      <c r="X889" s="134" t="n"/>
    </row>
    <row r="890">
      <c r="L890" s="134" t="n"/>
      <c r="N890" s="134" t="n"/>
      <c r="P890" s="134" t="n"/>
      <c r="R890" s="134" t="n"/>
      <c r="T890" s="134" t="n"/>
      <c r="V890" s="134" t="n"/>
      <c r="X890" s="134" t="n"/>
    </row>
    <row r="891">
      <c r="L891" s="134" t="n"/>
      <c r="N891" s="134" t="n"/>
      <c r="P891" s="134" t="n"/>
      <c r="R891" s="134" t="n"/>
      <c r="T891" s="134" t="n"/>
      <c r="V891" s="134" t="n"/>
      <c r="X891" s="134" t="n"/>
    </row>
    <row r="892">
      <c r="L892" s="134" t="n"/>
      <c r="N892" s="134" t="n"/>
      <c r="P892" s="134" t="n"/>
      <c r="R892" s="134" t="n"/>
      <c r="T892" s="134" t="n"/>
      <c r="V892" s="134" t="n"/>
      <c r="X892" s="134" t="n"/>
    </row>
    <row r="893">
      <c r="L893" s="134" t="n"/>
      <c r="N893" s="134" t="n"/>
      <c r="P893" s="134" t="n"/>
      <c r="R893" s="134" t="n"/>
      <c r="T893" s="134" t="n"/>
      <c r="V893" s="134" t="n"/>
      <c r="X893" s="134" t="n"/>
    </row>
    <row r="894">
      <c r="L894" s="134" t="n"/>
      <c r="N894" s="134" t="n"/>
      <c r="P894" s="134" t="n"/>
      <c r="R894" s="134" t="n"/>
      <c r="T894" s="134" t="n"/>
      <c r="V894" s="134" t="n"/>
      <c r="X894" s="134" t="n"/>
    </row>
    <row r="895">
      <c r="L895" s="134" t="n"/>
      <c r="N895" s="134" t="n"/>
      <c r="P895" s="134" t="n"/>
      <c r="R895" s="134" t="n"/>
      <c r="T895" s="134" t="n"/>
      <c r="V895" s="134" t="n"/>
      <c r="X895" s="134" t="n"/>
    </row>
    <row r="896">
      <c r="L896" s="134" t="n"/>
      <c r="N896" s="134" t="n"/>
      <c r="P896" s="134" t="n"/>
      <c r="R896" s="134" t="n"/>
      <c r="T896" s="134" t="n"/>
      <c r="V896" s="134" t="n"/>
      <c r="X896" s="134" t="n"/>
    </row>
    <row r="897">
      <c r="L897" s="134" t="n"/>
      <c r="N897" s="134" t="n"/>
      <c r="P897" s="134" t="n"/>
      <c r="R897" s="134" t="n"/>
      <c r="T897" s="134" t="n"/>
      <c r="V897" s="134" t="n"/>
      <c r="X897" s="134" t="n"/>
    </row>
    <row r="898">
      <c r="L898" s="134" t="n"/>
      <c r="N898" s="134" t="n"/>
      <c r="P898" s="134" t="n"/>
      <c r="R898" s="134" t="n"/>
      <c r="T898" s="134" t="n"/>
      <c r="V898" s="134" t="n"/>
      <c r="X898" s="134" t="n"/>
    </row>
    <row r="899">
      <c r="L899" s="134" t="n"/>
      <c r="N899" s="134" t="n"/>
      <c r="P899" s="134" t="n"/>
      <c r="R899" s="134" t="n"/>
      <c r="T899" s="134" t="n"/>
      <c r="V899" s="134" t="n"/>
      <c r="X899" s="134" t="n"/>
    </row>
    <row r="900">
      <c r="L900" s="134" t="n"/>
      <c r="N900" s="134" t="n"/>
      <c r="P900" s="134" t="n"/>
      <c r="R900" s="134" t="n"/>
      <c r="T900" s="134" t="n"/>
      <c r="V900" s="134" t="n"/>
      <c r="X900" s="134" t="n"/>
    </row>
    <row r="901">
      <c r="L901" s="134" t="n"/>
      <c r="N901" s="134" t="n"/>
      <c r="P901" s="134" t="n"/>
      <c r="R901" s="134" t="n"/>
      <c r="T901" s="134" t="n"/>
      <c r="V901" s="134" t="n"/>
      <c r="X901" s="134" t="n"/>
    </row>
    <row r="902">
      <c r="L902" s="134" t="n"/>
      <c r="N902" s="134" t="n"/>
      <c r="P902" s="134" t="n"/>
      <c r="R902" s="134" t="n"/>
      <c r="T902" s="134" t="n"/>
      <c r="V902" s="134" t="n"/>
      <c r="X902" s="134" t="n"/>
    </row>
    <row r="903">
      <c r="L903" s="134" t="n"/>
      <c r="N903" s="134" t="n"/>
      <c r="P903" s="134" t="n"/>
      <c r="R903" s="134" t="n"/>
      <c r="T903" s="134" t="n"/>
      <c r="V903" s="134" t="n"/>
      <c r="X903" s="134" t="n"/>
    </row>
    <row r="904">
      <c r="L904" s="134" t="n"/>
      <c r="N904" s="134" t="n"/>
      <c r="P904" s="134" t="n"/>
      <c r="R904" s="134" t="n"/>
      <c r="T904" s="134" t="n"/>
      <c r="V904" s="134" t="n"/>
      <c r="X904" s="134" t="n"/>
    </row>
    <row r="905">
      <c r="L905" s="134" t="n"/>
      <c r="N905" s="134" t="n"/>
      <c r="P905" s="134" t="n"/>
      <c r="R905" s="134" t="n"/>
      <c r="T905" s="134" t="n"/>
      <c r="V905" s="134" t="n"/>
      <c r="X905" s="134" t="n"/>
    </row>
    <row r="906">
      <c r="L906" s="134" t="n"/>
      <c r="N906" s="134" t="n"/>
      <c r="P906" s="134" t="n"/>
      <c r="R906" s="134" t="n"/>
      <c r="T906" s="134" t="n"/>
      <c r="V906" s="134" t="n"/>
      <c r="X906" s="134" t="n"/>
    </row>
    <row r="907">
      <c r="L907" s="134" t="n"/>
      <c r="N907" s="134" t="n"/>
      <c r="P907" s="134" t="n"/>
      <c r="R907" s="134" t="n"/>
      <c r="T907" s="134" t="n"/>
      <c r="V907" s="134" t="n"/>
      <c r="X907" s="134" t="n"/>
    </row>
    <row r="908">
      <c r="L908" s="134" t="n"/>
      <c r="N908" s="134" t="n"/>
      <c r="P908" s="134" t="n"/>
      <c r="R908" s="134" t="n"/>
      <c r="T908" s="134" t="n"/>
      <c r="V908" s="134" t="n"/>
      <c r="X908" s="134" t="n"/>
    </row>
    <row r="909">
      <c r="L909" s="134" t="n"/>
      <c r="N909" s="134" t="n"/>
      <c r="P909" s="134" t="n"/>
      <c r="R909" s="134" t="n"/>
      <c r="T909" s="134" t="n"/>
      <c r="V909" s="134" t="n"/>
      <c r="X909" s="134" t="n"/>
    </row>
    <row r="910">
      <c r="L910" s="134" t="n"/>
      <c r="N910" s="134" t="n"/>
      <c r="P910" s="134" t="n"/>
      <c r="R910" s="134" t="n"/>
      <c r="T910" s="134" t="n"/>
      <c r="V910" s="134" t="n"/>
      <c r="X910" s="134" t="n"/>
    </row>
    <row r="911">
      <c r="L911" s="134" t="n"/>
      <c r="N911" s="134" t="n"/>
      <c r="P911" s="134" t="n"/>
      <c r="R911" s="134" t="n"/>
      <c r="T911" s="134" t="n"/>
      <c r="V911" s="134" t="n"/>
      <c r="X911" s="134" t="n"/>
    </row>
    <row r="912">
      <c r="L912" s="134" t="n"/>
      <c r="N912" s="134" t="n"/>
      <c r="P912" s="134" t="n"/>
      <c r="R912" s="134" t="n"/>
      <c r="T912" s="134" t="n"/>
      <c r="V912" s="134" t="n"/>
      <c r="X912" s="134" t="n"/>
    </row>
    <row r="913">
      <c r="L913" s="134" t="n"/>
      <c r="N913" s="134" t="n"/>
      <c r="P913" s="134" t="n"/>
      <c r="R913" s="134" t="n"/>
      <c r="T913" s="134" t="n"/>
      <c r="V913" s="134" t="n"/>
      <c r="X913" s="134" t="n"/>
    </row>
    <row r="914">
      <c r="L914" s="134" t="n"/>
      <c r="N914" s="134" t="n"/>
      <c r="P914" s="134" t="n"/>
      <c r="R914" s="134" t="n"/>
      <c r="T914" s="134" t="n"/>
      <c r="V914" s="134" t="n"/>
      <c r="X914" s="134" t="n"/>
    </row>
    <row r="915">
      <c r="L915" s="134" t="n"/>
      <c r="N915" s="134" t="n"/>
      <c r="P915" s="134" t="n"/>
      <c r="R915" s="134" t="n"/>
      <c r="T915" s="134" t="n"/>
      <c r="V915" s="134" t="n"/>
      <c r="X915" s="134" t="n"/>
    </row>
    <row r="916">
      <c r="L916" s="134" t="n"/>
      <c r="N916" s="134" t="n"/>
      <c r="P916" s="134" t="n"/>
      <c r="R916" s="134" t="n"/>
      <c r="T916" s="134" t="n"/>
      <c r="V916" s="134" t="n"/>
      <c r="X916" s="134" t="n"/>
    </row>
    <row r="917">
      <c r="L917" s="134" t="n"/>
      <c r="N917" s="134" t="n"/>
      <c r="P917" s="134" t="n"/>
      <c r="R917" s="134" t="n"/>
      <c r="T917" s="134" t="n"/>
      <c r="V917" s="134" t="n"/>
      <c r="X917" s="134" t="n"/>
    </row>
    <row r="918">
      <c r="L918" s="134" t="n"/>
      <c r="N918" s="134" t="n"/>
      <c r="P918" s="134" t="n"/>
      <c r="R918" s="134" t="n"/>
      <c r="T918" s="134" t="n"/>
      <c r="V918" s="134" t="n"/>
      <c r="X918" s="134" t="n"/>
    </row>
    <row r="919">
      <c r="L919" s="134" t="n"/>
      <c r="N919" s="134" t="n"/>
      <c r="P919" s="134" t="n"/>
      <c r="R919" s="134" t="n"/>
      <c r="T919" s="134" t="n"/>
      <c r="V919" s="134" t="n"/>
      <c r="X919" s="134" t="n"/>
    </row>
    <row r="920">
      <c r="L920" s="134" t="n"/>
      <c r="N920" s="134" t="n"/>
      <c r="P920" s="134" t="n"/>
      <c r="R920" s="134" t="n"/>
      <c r="T920" s="134" t="n"/>
      <c r="V920" s="134" t="n"/>
      <c r="X920" s="134" t="n"/>
    </row>
    <row r="921">
      <c r="L921" s="134" t="n"/>
      <c r="N921" s="134" t="n"/>
      <c r="P921" s="134" t="n"/>
      <c r="R921" s="134" t="n"/>
      <c r="T921" s="134" t="n"/>
      <c r="V921" s="134" t="n"/>
      <c r="X921" s="134" t="n"/>
    </row>
    <row r="922">
      <c r="L922" s="134" t="n"/>
      <c r="N922" s="134" t="n"/>
      <c r="P922" s="134" t="n"/>
      <c r="R922" s="134" t="n"/>
      <c r="T922" s="134" t="n"/>
      <c r="V922" s="134" t="n"/>
      <c r="X922" s="134" t="n"/>
    </row>
    <row r="923">
      <c r="L923" s="134" t="n"/>
      <c r="N923" s="134" t="n"/>
      <c r="P923" s="134" t="n"/>
      <c r="R923" s="134" t="n"/>
      <c r="T923" s="134" t="n"/>
      <c r="V923" s="134" t="n"/>
      <c r="X923" s="134" t="n"/>
    </row>
    <row r="924">
      <c r="L924" s="134" t="n"/>
      <c r="N924" s="134" t="n"/>
      <c r="P924" s="134" t="n"/>
      <c r="R924" s="134" t="n"/>
      <c r="T924" s="134" t="n"/>
      <c r="V924" s="134" t="n"/>
      <c r="X924" s="134" t="n"/>
    </row>
    <row r="925">
      <c r="L925" s="134" t="n"/>
      <c r="N925" s="134" t="n"/>
      <c r="P925" s="134" t="n"/>
      <c r="R925" s="134" t="n"/>
      <c r="T925" s="134" t="n"/>
      <c r="V925" s="134" t="n"/>
      <c r="X925" s="134" t="n"/>
    </row>
    <row r="926">
      <c r="L926" s="134" t="n"/>
      <c r="N926" s="134" t="n"/>
      <c r="P926" s="134" t="n"/>
      <c r="R926" s="134" t="n"/>
      <c r="T926" s="134" t="n"/>
      <c r="V926" s="134" t="n"/>
      <c r="X926" s="134" t="n"/>
    </row>
    <row r="927">
      <c r="L927" s="134" t="n"/>
      <c r="N927" s="134" t="n"/>
      <c r="P927" s="134" t="n"/>
      <c r="R927" s="134" t="n"/>
      <c r="T927" s="134" t="n"/>
      <c r="V927" s="134" t="n"/>
      <c r="X927" s="134" t="n"/>
    </row>
    <row r="928">
      <c r="L928" s="134" t="n"/>
      <c r="N928" s="134" t="n"/>
      <c r="P928" s="134" t="n"/>
      <c r="R928" s="134" t="n"/>
      <c r="T928" s="134" t="n"/>
      <c r="V928" s="134" t="n"/>
      <c r="X928" s="134" t="n"/>
    </row>
    <row r="929">
      <c r="L929" s="134" t="n"/>
      <c r="N929" s="134" t="n"/>
      <c r="P929" s="134" t="n"/>
      <c r="R929" s="134" t="n"/>
      <c r="T929" s="134" t="n"/>
      <c r="V929" s="134" t="n"/>
      <c r="X929" s="134" t="n"/>
    </row>
    <row r="930">
      <c r="L930" s="134" t="n"/>
      <c r="N930" s="134" t="n"/>
      <c r="P930" s="134" t="n"/>
      <c r="R930" s="134" t="n"/>
      <c r="T930" s="134" t="n"/>
      <c r="V930" s="134" t="n"/>
      <c r="X930" s="134" t="n"/>
    </row>
    <row r="931">
      <c r="L931" s="134" t="n"/>
      <c r="N931" s="134" t="n"/>
      <c r="P931" s="134" t="n"/>
      <c r="R931" s="134" t="n"/>
      <c r="T931" s="134" t="n"/>
      <c r="V931" s="134" t="n"/>
      <c r="X931" s="134" t="n"/>
    </row>
    <row r="932">
      <c r="L932" s="134" t="n"/>
      <c r="N932" s="134" t="n"/>
      <c r="P932" s="134" t="n"/>
      <c r="R932" s="134" t="n"/>
      <c r="T932" s="134" t="n"/>
      <c r="V932" s="134" t="n"/>
      <c r="X932" s="134" t="n"/>
    </row>
    <row r="933">
      <c r="L933" s="134" t="n"/>
      <c r="N933" s="134" t="n"/>
      <c r="P933" s="134" t="n"/>
      <c r="R933" s="134" t="n"/>
      <c r="T933" s="134" t="n"/>
      <c r="V933" s="134" t="n"/>
      <c r="X933" s="134" t="n"/>
    </row>
    <row r="934">
      <c r="L934" s="134" t="n"/>
      <c r="N934" s="134" t="n"/>
      <c r="P934" s="134" t="n"/>
      <c r="R934" s="134" t="n"/>
      <c r="T934" s="134" t="n"/>
      <c r="V934" s="134" t="n"/>
      <c r="X934" s="134" t="n"/>
    </row>
    <row r="935">
      <c r="L935" s="134" t="n"/>
      <c r="N935" s="134" t="n"/>
      <c r="P935" s="134" t="n"/>
      <c r="R935" s="134" t="n"/>
      <c r="T935" s="134" t="n"/>
      <c r="V935" s="134" t="n"/>
      <c r="X935" s="134" t="n"/>
    </row>
    <row r="936">
      <c r="L936" s="134" t="n"/>
      <c r="N936" s="134" t="n"/>
      <c r="P936" s="134" t="n"/>
      <c r="R936" s="134" t="n"/>
      <c r="T936" s="134" t="n"/>
      <c r="V936" s="134" t="n"/>
      <c r="X936" s="134" t="n"/>
    </row>
    <row r="937">
      <c r="L937" s="134" t="n"/>
      <c r="N937" s="134" t="n"/>
      <c r="P937" s="134" t="n"/>
      <c r="R937" s="134" t="n"/>
      <c r="T937" s="134" t="n"/>
      <c r="V937" s="134" t="n"/>
      <c r="X937" s="134" t="n"/>
    </row>
    <row r="938">
      <c r="L938" s="134" t="n"/>
      <c r="N938" s="134" t="n"/>
      <c r="P938" s="134" t="n"/>
      <c r="R938" s="134" t="n"/>
      <c r="T938" s="134" t="n"/>
      <c r="V938" s="134" t="n"/>
      <c r="X938" s="134" t="n"/>
    </row>
    <row r="939">
      <c r="L939" s="134" t="n"/>
      <c r="N939" s="134" t="n"/>
      <c r="P939" s="134" t="n"/>
      <c r="R939" s="134" t="n"/>
      <c r="T939" s="134" t="n"/>
      <c r="V939" s="134" t="n"/>
      <c r="X939" s="134" t="n"/>
    </row>
    <row r="940">
      <c r="L940" s="134" t="n"/>
      <c r="N940" s="134" t="n"/>
      <c r="P940" s="134" t="n"/>
      <c r="R940" s="134" t="n"/>
      <c r="T940" s="134" t="n"/>
      <c r="V940" s="134" t="n"/>
      <c r="X940" s="134" t="n"/>
    </row>
    <row r="941">
      <c r="L941" s="134" t="n"/>
      <c r="N941" s="134" t="n"/>
      <c r="P941" s="134" t="n"/>
      <c r="R941" s="134" t="n"/>
      <c r="T941" s="134" t="n"/>
      <c r="V941" s="134" t="n"/>
      <c r="X941" s="134" t="n"/>
    </row>
    <row r="942">
      <c r="L942" s="134" t="n"/>
      <c r="N942" s="134" t="n"/>
      <c r="P942" s="134" t="n"/>
      <c r="R942" s="134" t="n"/>
      <c r="T942" s="134" t="n"/>
      <c r="V942" s="134" t="n"/>
      <c r="X942" s="134" t="n"/>
    </row>
    <row r="943">
      <c r="L943" s="134" t="n"/>
      <c r="N943" s="134" t="n"/>
      <c r="P943" s="134" t="n"/>
      <c r="R943" s="134" t="n"/>
      <c r="T943" s="134" t="n"/>
      <c r="V943" s="134" t="n"/>
      <c r="X943" s="134" t="n"/>
    </row>
    <row r="944">
      <c r="L944" s="134" t="n"/>
      <c r="N944" s="134" t="n"/>
      <c r="P944" s="134" t="n"/>
      <c r="R944" s="134" t="n"/>
      <c r="T944" s="134" t="n"/>
      <c r="V944" s="134" t="n"/>
      <c r="X944" s="134" t="n"/>
    </row>
    <row r="945">
      <c r="L945" s="134" t="n"/>
      <c r="N945" s="134" t="n"/>
      <c r="P945" s="134" t="n"/>
      <c r="R945" s="134" t="n"/>
      <c r="T945" s="134" t="n"/>
      <c r="V945" s="134" t="n"/>
      <c r="X945" s="134" t="n"/>
    </row>
    <row r="946">
      <c r="L946" s="134" t="n"/>
      <c r="N946" s="134" t="n"/>
      <c r="P946" s="134" t="n"/>
      <c r="R946" s="134" t="n"/>
      <c r="T946" s="134" t="n"/>
      <c r="V946" s="134" t="n"/>
      <c r="X946" s="134" t="n"/>
    </row>
    <row r="947">
      <c r="L947" s="134" t="n"/>
      <c r="N947" s="134" t="n"/>
      <c r="P947" s="134" t="n"/>
      <c r="R947" s="134" t="n"/>
      <c r="T947" s="134" t="n"/>
      <c r="V947" s="134" t="n"/>
      <c r="X947" s="134" t="n"/>
    </row>
    <row r="948">
      <c r="L948" s="134" t="n"/>
      <c r="N948" s="134" t="n"/>
      <c r="P948" s="134" t="n"/>
      <c r="R948" s="134" t="n"/>
      <c r="T948" s="134" t="n"/>
      <c r="V948" s="134" t="n"/>
      <c r="X948" s="134" t="n"/>
    </row>
    <row r="949">
      <c r="L949" s="134" t="n"/>
      <c r="N949" s="134" t="n"/>
      <c r="P949" s="134" t="n"/>
      <c r="R949" s="134" t="n"/>
      <c r="T949" s="134" t="n"/>
      <c r="V949" s="134" t="n"/>
      <c r="X949" s="134" t="n"/>
    </row>
    <row r="950">
      <c r="L950" s="134" t="n"/>
      <c r="N950" s="134" t="n"/>
      <c r="P950" s="134" t="n"/>
      <c r="R950" s="134" t="n"/>
      <c r="T950" s="134" t="n"/>
      <c r="V950" s="134" t="n"/>
      <c r="X950" s="134" t="n"/>
    </row>
    <row r="951">
      <c r="L951" s="134" t="n"/>
      <c r="N951" s="134" t="n"/>
      <c r="P951" s="134" t="n"/>
      <c r="R951" s="134" t="n"/>
      <c r="T951" s="134" t="n"/>
      <c r="V951" s="134" t="n"/>
      <c r="X951" s="134" t="n"/>
    </row>
    <row r="952">
      <c r="L952" s="134" t="n"/>
      <c r="N952" s="134" t="n"/>
      <c r="P952" s="134" t="n"/>
      <c r="R952" s="134" t="n"/>
      <c r="T952" s="134" t="n"/>
      <c r="V952" s="134" t="n"/>
      <c r="X952" s="134" t="n"/>
    </row>
    <row r="953">
      <c r="L953" s="134" t="n"/>
      <c r="N953" s="134" t="n"/>
      <c r="P953" s="134" t="n"/>
      <c r="R953" s="134" t="n"/>
      <c r="T953" s="134" t="n"/>
      <c r="V953" s="134" t="n"/>
      <c r="X953" s="134" t="n"/>
    </row>
    <row r="954">
      <c r="L954" s="134" t="n"/>
      <c r="N954" s="134" t="n"/>
      <c r="P954" s="134" t="n"/>
      <c r="R954" s="134" t="n"/>
      <c r="T954" s="134" t="n"/>
      <c r="V954" s="134" t="n"/>
      <c r="X954" s="134" t="n"/>
    </row>
    <row r="955">
      <c r="L955" s="134" t="n"/>
      <c r="N955" s="134" t="n"/>
      <c r="P955" s="134" t="n"/>
      <c r="R955" s="134" t="n"/>
      <c r="T955" s="134" t="n"/>
      <c r="V955" s="134" t="n"/>
      <c r="X955" s="134" t="n"/>
    </row>
    <row r="956">
      <c r="L956" s="134" t="n"/>
      <c r="N956" s="134" t="n"/>
      <c r="P956" s="134" t="n"/>
      <c r="R956" s="134" t="n"/>
      <c r="T956" s="134" t="n"/>
      <c r="V956" s="134" t="n"/>
      <c r="X956" s="134" t="n"/>
    </row>
    <row r="957">
      <c r="L957" s="134" t="n"/>
      <c r="N957" s="134" t="n"/>
      <c r="P957" s="134" t="n"/>
      <c r="R957" s="134" t="n"/>
      <c r="T957" s="134" t="n"/>
      <c r="V957" s="134" t="n"/>
      <c r="X957" s="134" t="n"/>
    </row>
    <row r="958">
      <c r="L958" s="134" t="n"/>
      <c r="N958" s="134" t="n"/>
      <c r="P958" s="134" t="n"/>
      <c r="R958" s="134" t="n"/>
      <c r="T958" s="134" t="n"/>
      <c r="V958" s="134" t="n"/>
      <c r="X958" s="134" t="n"/>
    </row>
    <row r="959">
      <c r="L959" s="134" t="n"/>
      <c r="N959" s="134" t="n"/>
      <c r="P959" s="134" t="n"/>
      <c r="R959" s="134" t="n"/>
      <c r="T959" s="134" t="n"/>
      <c r="V959" s="134" t="n"/>
      <c r="X959" s="134" t="n"/>
    </row>
    <row r="960">
      <c r="L960" s="134" t="n"/>
      <c r="N960" s="134" t="n"/>
      <c r="P960" s="134" t="n"/>
      <c r="R960" s="134" t="n"/>
      <c r="T960" s="134" t="n"/>
      <c r="V960" s="134" t="n"/>
      <c r="X960" s="134" t="n"/>
    </row>
    <row r="961">
      <c r="L961" s="134" t="n"/>
      <c r="N961" s="134" t="n"/>
      <c r="P961" s="134" t="n"/>
      <c r="R961" s="134" t="n"/>
      <c r="T961" s="134" t="n"/>
      <c r="V961" s="134" t="n"/>
      <c r="X961" s="134" t="n"/>
    </row>
    <row r="962">
      <c r="L962" s="134" t="n"/>
      <c r="N962" s="134" t="n"/>
      <c r="P962" s="134" t="n"/>
      <c r="R962" s="134" t="n"/>
      <c r="T962" s="134" t="n"/>
      <c r="V962" s="134" t="n"/>
      <c r="X962" s="134" t="n"/>
    </row>
    <row r="963">
      <c r="L963" s="134" t="n"/>
      <c r="N963" s="134" t="n"/>
      <c r="P963" s="134" t="n"/>
      <c r="R963" s="134" t="n"/>
      <c r="T963" s="134" t="n"/>
      <c r="V963" s="134" t="n"/>
      <c r="X963" s="134" t="n"/>
    </row>
    <row r="964">
      <c r="L964" s="134" t="n"/>
      <c r="N964" s="134" t="n"/>
      <c r="P964" s="134" t="n"/>
      <c r="R964" s="134" t="n"/>
      <c r="T964" s="134" t="n"/>
      <c r="V964" s="134" t="n"/>
      <c r="X964" s="134" t="n"/>
    </row>
    <row r="965">
      <c r="L965" s="134" t="n"/>
      <c r="N965" s="134" t="n"/>
      <c r="P965" s="134" t="n"/>
      <c r="R965" s="134" t="n"/>
      <c r="T965" s="134" t="n"/>
      <c r="V965" s="134" t="n"/>
      <c r="X965" s="134" t="n"/>
    </row>
    <row r="966">
      <c r="L966" s="134" t="n"/>
      <c r="N966" s="134" t="n"/>
      <c r="P966" s="134" t="n"/>
      <c r="R966" s="134" t="n"/>
      <c r="T966" s="134" t="n"/>
      <c r="V966" s="134" t="n"/>
      <c r="X966" s="134" t="n"/>
    </row>
    <row r="967">
      <c r="L967" s="134" t="n"/>
      <c r="N967" s="134" t="n"/>
      <c r="P967" s="134" t="n"/>
      <c r="R967" s="134" t="n"/>
      <c r="T967" s="134" t="n"/>
      <c r="V967" s="134" t="n"/>
      <c r="X967" s="134" t="n"/>
    </row>
    <row r="968">
      <c r="L968" s="134" t="n"/>
      <c r="N968" s="134" t="n"/>
      <c r="P968" s="134" t="n"/>
      <c r="R968" s="134" t="n"/>
      <c r="T968" s="134" t="n"/>
      <c r="V968" s="134" t="n"/>
      <c r="X968" s="134" t="n"/>
    </row>
    <row r="969">
      <c r="L969" s="134" t="n"/>
      <c r="N969" s="134" t="n"/>
      <c r="P969" s="134" t="n"/>
      <c r="R969" s="134" t="n"/>
      <c r="T969" s="134" t="n"/>
      <c r="V969" s="134" t="n"/>
      <c r="X969" s="134" t="n"/>
    </row>
    <row r="970">
      <c r="L970" s="134" t="n"/>
      <c r="N970" s="134" t="n"/>
      <c r="P970" s="134" t="n"/>
      <c r="R970" s="134" t="n"/>
      <c r="T970" s="134" t="n"/>
      <c r="V970" s="134" t="n"/>
      <c r="X970" s="134" t="n"/>
    </row>
    <row r="971">
      <c r="L971" s="134" t="n"/>
      <c r="N971" s="134" t="n"/>
      <c r="P971" s="134" t="n"/>
      <c r="R971" s="134" t="n"/>
      <c r="T971" s="134" t="n"/>
      <c r="V971" s="134" t="n"/>
      <c r="X971" s="134" t="n"/>
    </row>
    <row r="972">
      <c r="L972" s="134" t="n"/>
      <c r="N972" s="134" t="n"/>
      <c r="P972" s="134" t="n"/>
      <c r="R972" s="134" t="n"/>
      <c r="T972" s="134" t="n"/>
      <c r="V972" s="134" t="n"/>
      <c r="X972" s="134" t="n"/>
    </row>
    <row r="973">
      <c r="L973" s="134" t="n"/>
      <c r="N973" s="134" t="n"/>
      <c r="P973" s="134" t="n"/>
      <c r="R973" s="134" t="n"/>
      <c r="T973" s="134" t="n"/>
      <c r="V973" s="134" t="n"/>
      <c r="X973" s="134" t="n"/>
    </row>
    <row r="974">
      <c r="L974" s="134" t="n"/>
      <c r="N974" s="134" t="n"/>
      <c r="P974" s="134" t="n"/>
      <c r="R974" s="134" t="n"/>
      <c r="T974" s="134" t="n"/>
      <c r="V974" s="134" t="n"/>
      <c r="X974" s="134" t="n"/>
    </row>
    <row r="975">
      <c r="L975" s="134" t="n"/>
      <c r="N975" s="134" t="n"/>
      <c r="P975" s="134" t="n"/>
      <c r="R975" s="134" t="n"/>
      <c r="T975" s="134" t="n"/>
      <c r="V975" s="134" t="n"/>
      <c r="X975" s="134" t="n"/>
    </row>
    <row r="976">
      <c r="L976" s="134" t="n"/>
      <c r="N976" s="134" t="n"/>
      <c r="P976" s="134" t="n"/>
      <c r="R976" s="134" t="n"/>
      <c r="T976" s="134" t="n"/>
      <c r="V976" s="134" t="n"/>
      <c r="X976" s="134" t="n"/>
    </row>
    <row r="977">
      <c r="L977" s="134" t="n"/>
      <c r="N977" s="134" t="n"/>
      <c r="P977" s="134" t="n"/>
      <c r="R977" s="134" t="n"/>
      <c r="T977" s="134" t="n"/>
      <c r="V977" s="134" t="n"/>
      <c r="X977" s="134" t="n"/>
    </row>
    <row r="978">
      <c r="L978" s="134" t="n"/>
      <c r="N978" s="134" t="n"/>
      <c r="P978" s="134" t="n"/>
      <c r="R978" s="134" t="n"/>
      <c r="T978" s="134" t="n"/>
      <c r="V978" s="134" t="n"/>
      <c r="X978" s="134" t="n"/>
    </row>
    <row r="979">
      <c r="L979" s="134" t="n"/>
      <c r="N979" s="134" t="n"/>
      <c r="P979" s="134" t="n"/>
      <c r="R979" s="134" t="n"/>
      <c r="T979" s="134" t="n"/>
      <c r="V979" s="134" t="n"/>
      <c r="X979" s="134" t="n"/>
    </row>
    <row r="980">
      <c r="L980" s="134" t="n"/>
      <c r="N980" s="134" t="n"/>
      <c r="P980" s="134" t="n"/>
      <c r="R980" s="134" t="n"/>
      <c r="T980" s="134" t="n"/>
      <c r="V980" s="134" t="n"/>
      <c r="X980" s="134" t="n"/>
    </row>
    <row r="981">
      <c r="L981" s="134" t="n"/>
      <c r="N981" s="134" t="n"/>
      <c r="P981" s="134" t="n"/>
      <c r="R981" s="134" t="n"/>
      <c r="T981" s="134" t="n"/>
      <c r="V981" s="134" t="n"/>
      <c r="X981" s="134" t="n"/>
    </row>
    <row r="982">
      <c r="L982" s="134" t="n"/>
      <c r="N982" s="134" t="n"/>
      <c r="P982" s="134" t="n"/>
      <c r="R982" s="134" t="n"/>
      <c r="T982" s="134" t="n"/>
      <c r="V982" s="134" t="n"/>
      <c r="X982" s="134" t="n"/>
    </row>
    <row r="983">
      <c r="L983" s="134" t="n"/>
      <c r="N983" s="134" t="n"/>
      <c r="P983" s="134" t="n"/>
      <c r="R983" s="134" t="n"/>
      <c r="T983" s="134" t="n"/>
      <c r="V983" s="134" t="n"/>
      <c r="X983" s="134" t="n"/>
    </row>
    <row r="984">
      <c r="L984" s="134" t="n"/>
      <c r="N984" s="134" t="n"/>
      <c r="P984" s="134" t="n"/>
      <c r="R984" s="134" t="n"/>
      <c r="T984" s="134" t="n"/>
      <c r="V984" s="134" t="n"/>
      <c r="X984" s="134" t="n"/>
    </row>
    <row r="985">
      <c r="L985" s="134" t="n"/>
      <c r="N985" s="134" t="n"/>
      <c r="P985" s="134" t="n"/>
      <c r="R985" s="134" t="n"/>
      <c r="T985" s="134" t="n"/>
      <c r="V985" s="134" t="n"/>
      <c r="X985" s="134" t="n"/>
    </row>
    <row r="986">
      <c r="L986" s="134" t="n"/>
      <c r="N986" s="134" t="n"/>
      <c r="P986" s="134" t="n"/>
      <c r="R986" s="134" t="n"/>
      <c r="T986" s="134" t="n"/>
      <c r="V986" s="134" t="n"/>
      <c r="X986" s="134" t="n"/>
    </row>
    <row r="987">
      <c r="L987" s="134" t="n"/>
      <c r="N987" s="134" t="n"/>
      <c r="P987" s="134" t="n"/>
      <c r="R987" s="134" t="n"/>
      <c r="T987" s="134" t="n"/>
      <c r="V987" s="134" t="n"/>
      <c r="X987" s="134" t="n"/>
    </row>
    <row r="988">
      <c r="L988" s="134" t="n"/>
      <c r="N988" s="134" t="n"/>
      <c r="P988" s="134" t="n"/>
      <c r="R988" s="134" t="n"/>
      <c r="T988" s="134" t="n"/>
      <c r="V988" s="134" t="n"/>
      <c r="X988" s="134" t="n"/>
    </row>
    <row r="989">
      <c r="L989" s="134" t="n"/>
      <c r="N989" s="134" t="n"/>
      <c r="P989" s="134" t="n"/>
      <c r="R989" s="134" t="n"/>
      <c r="T989" s="134" t="n"/>
      <c r="V989" s="134" t="n"/>
      <c r="X989" s="134" t="n"/>
    </row>
    <row r="990">
      <c r="L990" s="134" t="n"/>
      <c r="N990" s="134" t="n"/>
      <c r="P990" s="134" t="n"/>
      <c r="R990" s="134" t="n"/>
      <c r="T990" s="134" t="n"/>
      <c r="V990" s="134" t="n"/>
      <c r="X990" s="134" t="n"/>
    </row>
    <row r="991">
      <c r="L991" s="134" t="n"/>
      <c r="N991" s="134" t="n"/>
      <c r="P991" s="134" t="n"/>
      <c r="R991" s="134" t="n"/>
      <c r="T991" s="134" t="n"/>
      <c r="V991" s="134" t="n"/>
      <c r="X991" s="134" t="n"/>
    </row>
    <row r="992">
      <c r="L992" s="134" t="n"/>
      <c r="N992" s="134" t="n"/>
      <c r="P992" s="134" t="n"/>
      <c r="R992" s="134" t="n"/>
      <c r="T992" s="134" t="n"/>
      <c r="V992" s="134" t="n"/>
      <c r="X992" s="134" t="n"/>
    </row>
  </sheetData>
  <mergeCells count="4">
    <mergeCell ref="B2:X2"/>
    <mergeCell ref="B16:X16"/>
    <mergeCell ref="B9:X9"/>
    <mergeCell ref="B20:X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M1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17.25" customWidth="1" style="162" min="2" max="2"/>
    <col width="20.88" customWidth="1" style="162" min="3" max="3"/>
  </cols>
  <sheetData>
    <row r="1">
      <c r="A1" s="101" t="inlineStr">
        <is>
          <t>Red social</t>
        </is>
      </c>
      <c r="B1" s="102" t="inlineStr">
        <is>
          <t>Seguidores iniciales</t>
        </is>
      </c>
      <c r="C1" s="102" t="inlineStr">
        <is>
          <t>Meta mensual (followers)</t>
        </is>
      </c>
      <c r="D1" s="101" t="inlineStr">
        <is>
          <t>Ene</t>
        </is>
      </c>
      <c r="E1" s="101" t="inlineStr">
        <is>
          <t>Meta</t>
        </is>
      </c>
      <c r="F1" s="101" t="inlineStr">
        <is>
          <t>Diferencia</t>
        </is>
      </c>
      <c r="G1" s="101" t="inlineStr">
        <is>
          <t>Feb</t>
        </is>
      </c>
      <c r="H1" s="101" t="inlineStr">
        <is>
          <t>Meta</t>
        </is>
      </c>
      <c r="I1" s="101" t="inlineStr">
        <is>
          <t>Diferencia</t>
        </is>
      </c>
      <c r="J1" s="101" t="inlineStr">
        <is>
          <t>Mar</t>
        </is>
      </c>
      <c r="K1" s="101" t="inlineStr">
        <is>
          <t>Meta</t>
        </is>
      </c>
      <c r="L1" s="101" t="inlineStr">
        <is>
          <t>Diferencia</t>
        </is>
      </c>
      <c r="M1" s="101" t="inlineStr">
        <is>
          <t>Abr</t>
        </is>
      </c>
      <c r="N1" s="101" t="inlineStr">
        <is>
          <t>Meta</t>
        </is>
      </c>
      <c r="O1" s="101" t="inlineStr">
        <is>
          <t>Diferencia</t>
        </is>
      </c>
      <c r="P1" s="101" t="inlineStr">
        <is>
          <t>May</t>
        </is>
      </c>
      <c r="Q1" s="101" t="inlineStr">
        <is>
          <t>Meta</t>
        </is>
      </c>
      <c r="R1" s="101" t="inlineStr">
        <is>
          <t>Diferencia</t>
        </is>
      </c>
      <c r="S1" s="101" t="inlineStr">
        <is>
          <t>Jun</t>
        </is>
      </c>
      <c r="T1" s="101" t="inlineStr">
        <is>
          <t>Meta</t>
        </is>
      </c>
      <c r="U1" s="101" t="inlineStr">
        <is>
          <t>Diferencia</t>
        </is>
      </c>
      <c r="V1" s="101" t="inlineStr">
        <is>
          <t>Jul</t>
        </is>
      </c>
      <c r="W1" s="101" t="inlineStr">
        <is>
          <t>Meta</t>
        </is>
      </c>
      <c r="X1" s="101" t="inlineStr">
        <is>
          <t>Diferencia</t>
        </is>
      </c>
      <c r="Y1" s="101" t="inlineStr">
        <is>
          <t>Ago</t>
        </is>
      </c>
      <c r="Z1" s="101" t="inlineStr">
        <is>
          <t>Meta</t>
        </is>
      </c>
      <c r="AA1" s="101" t="inlineStr">
        <is>
          <t>Diferencia</t>
        </is>
      </c>
      <c r="AB1" s="101" t="inlineStr">
        <is>
          <t>Sep</t>
        </is>
      </c>
      <c r="AC1" s="101" t="inlineStr">
        <is>
          <t>Meta</t>
        </is>
      </c>
      <c r="AD1" s="101" t="inlineStr">
        <is>
          <t>Diferencia</t>
        </is>
      </c>
      <c r="AE1" s="101" t="inlineStr">
        <is>
          <t>Oct</t>
        </is>
      </c>
      <c r="AF1" s="101" t="inlineStr">
        <is>
          <t>Meta</t>
        </is>
      </c>
      <c r="AG1" s="101" t="inlineStr">
        <is>
          <t>Diferencia</t>
        </is>
      </c>
      <c r="AH1" s="101" t="inlineStr">
        <is>
          <t>Nov</t>
        </is>
      </c>
      <c r="AI1" s="101" t="inlineStr">
        <is>
          <t>Meta</t>
        </is>
      </c>
      <c r="AJ1" s="101" t="inlineStr">
        <is>
          <t>Diferencia</t>
        </is>
      </c>
      <c r="AK1" s="101" t="inlineStr">
        <is>
          <t>Dic</t>
        </is>
      </c>
      <c r="AL1" s="101" t="inlineStr">
        <is>
          <t>Meta</t>
        </is>
      </c>
      <c r="AM1" s="101" t="inlineStr">
        <is>
          <t>Diferencia</t>
        </is>
      </c>
    </row>
    <row r="2">
      <c r="A2" s="105" t="inlineStr">
        <is>
          <t>Facebook</t>
        </is>
      </c>
      <c r="B2" s="140" t="n">
        <v>135044</v>
      </c>
      <c r="C2" s="143" t="n">
        <v>315</v>
      </c>
      <c r="D2" s="136" t="n">
        <v>135863</v>
      </c>
      <c r="E2" s="137">
        <f>B2+C2</f>
        <v/>
      </c>
      <c r="F2" s="138">
        <f>D2-E2</f>
        <v/>
      </c>
      <c r="G2" s="140" t="n">
        <v>136255</v>
      </c>
      <c r="H2" s="139">
        <f>E2+C2</f>
        <v/>
      </c>
      <c r="I2" s="138">
        <f>G2-H2</f>
        <v/>
      </c>
      <c r="J2" s="140" t="n">
        <v>137734</v>
      </c>
      <c r="K2" s="139">
        <f>H2+C2</f>
        <v/>
      </c>
      <c r="L2" s="138">
        <f>J2-K2</f>
        <v/>
      </c>
      <c r="M2" s="140" t="n"/>
      <c r="N2" s="139">
        <f>K2+C2</f>
        <v/>
      </c>
      <c r="O2" s="138">
        <f>M2-N2</f>
        <v/>
      </c>
      <c r="P2" s="112" t="n"/>
      <c r="Q2" s="139">
        <f>C2+N2</f>
        <v/>
      </c>
      <c r="R2" s="138">
        <f>P2-Q2</f>
        <v/>
      </c>
      <c r="S2" s="112" t="n"/>
      <c r="T2" s="139">
        <f>C2+Q2</f>
        <v/>
      </c>
      <c r="U2" s="138">
        <f>S2-T2</f>
        <v/>
      </c>
      <c r="V2" s="112" t="n"/>
      <c r="W2" s="139">
        <f>C2+T2</f>
        <v/>
      </c>
      <c r="X2" s="138">
        <f>V2-W2</f>
        <v/>
      </c>
      <c r="Y2" s="140" t="n"/>
      <c r="Z2" s="139">
        <f>C2+W2</f>
        <v/>
      </c>
      <c r="AA2" s="138">
        <f>Y2-Z2</f>
        <v/>
      </c>
      <c r="AB2" s="112" t="n"/>
      <c r="AC2" s="139">
        <f>C2+Z2</f>
        <v/>
      </c>
      <c r="AD2" s="138">
        <f>AB2-AC2</f>
        <v/>
      </c>
      <c r="AE2" s="112" t="n"/>
      <c r="AF2" s="139">
        <f>C2+AC2</f>
        <v/>
      </c>
      <c r="AG2" s="138">
        <f>AE2-AF2</f>
        <v/>
      </c>
      <c r="AH2" s="112" t="n"/>
      <c r="AI2" s="139">
        <f>C2+AF2</f>
        <v/>
      </c>
      <c r="AJ2" s="138">
        <f>AH2-AI2</f>
        <v/>
      </c>
      <c r="AK2" s="112" t="n"/>
      <c r="AL2" s="141">
        <f>C2+AI2</f>
        <v/>
      </c>
      <c r="AM2" s="142">
        <f>AK2-AL2</f>
        <v/>
      </c>
    </row>
    <row r="3">
      <c r="A3" s="105" t="inlineStr">
        <is>
          <t>Twitter / X</t>
        </is>
      </c>
      <c r="B3" s="140" t="n">
        <v>145071</v>
      </c>
      <c r="C3" s="143" t="n">
        <v>150</v>
      </c>
      <c r="D3" s="136" t="n">
        <v>145220</v>
      </c>
      <c r="E3" s="137">
        <f>B3+C3</f>
        <v/>
      </c>
      <c r="F3" s="138">
        <f>D3-E3</f>
        <v/>
      </c>
      <c r="G3" s="140" t="n">
        <v>145319</v>
      </c>
      <c r="H3" s="139">
        <f>E3+C3</f>
        <v/>
      </c>
      <c r="I3" s="138">
        <f>G3-H3</f>
        <v/>
      </c>
      <c r="J3" s="140" t="n">
        <v>145588</v>
      </c>
      <c r="K3" s="139">
        <f>H3+C3</f>
        <v/>
      </c>
      <c r="L3" s="138">
        <f>J3-K3</f>
        <v/>
      </c>
      <c r="M3" s="140" t="n"/>
      <c r="N3" s="139">
        <f>K3+C3</f>
        <v/>
      </c>
      <c r="O3" s="138">
        <f>M3-N3</f>
        <v/>
      </c>
      <c r="P3" s="112" t="n"/>
      <c r="Q3" s="139">
        <f>C3+N3</f>
        <v/>
      </c>
      <c r="R3" s="138">
        <f>P3-Q3</f>
        <v/>
      </c>
      <c r="S3" s="112" t="n"/>
      <c r="T3" s="139">
        <f>C3+Q3</f>
        <v/>
      </c>
      <c r="U3" s="138">
        <f>S3-T3</f>
        <v/>
      </c>
      <c r="V3" s="112" t="n"/>
      <c r="W3" s="139">
        <f>C3+T3</f>
        <v/>
      </c>
      <c r="X3" s="138">
        <f>V3-W3</f>
        <v/>
      </c>
      <c r="Y3" s="140" t="n"/>
      <c r="Z3" s="139">
        <f>C3+W3</f>
        <v/>
      </c>
      <c r="AA3" s="138">
        <f>Y3-Z3</f>
        <v/>
      </c>
      <c r="AB3" s="112" t="n"/>
      <c r="AC3" s="139">
        <f>C3+Z3</f>
        <v/>
      </c>
      <c r="AD3" s="138">
        <f>AB3-AC3</f>
        <v/>
      </c>
      <c r="AE3" s="112" t="n"/>
      <c r="AF3" s="139">
        <f>C3+AC3</f>
        <v/>
      </c>
      <c r="AG3" s="138">
        <f>AE3-AF3</f>
        <v/>
      </c>
      <c r="AH3" s="112" t="n"/>
      <c r="AI3" s="139">
        <f>C3+AF3</f>
        <v/>
      </c>
      <c r="AJ3" s="138">
        <f>AH3-AI3</f>
        <v/>
      </c>
      <c r="AK3" s="112" t="n"/>
      <c r="AL3" s="141">
        <f>C3+AI3</f>
        <v/>
      </c>
      <c r="AM3" s="142">
        <f>AK3-AL3</f>
        <v/>
      </c>
    </row>
    <row r="4">
      <c r="A4" s="105" t="inlineStr">
        <is>
          <t>Instagram</t>
        </is>
      </c>
      <c r="B4" s="140" t="n">
        <v>14409</v>
      </c>
      <c r="C4" s="143">
        <f>+510</f>
        <v/>
      </c>
      <c r="D4" s="136" t="n">
        <v>15150</v>
      </c>
      <c r="E4" s="137">
        <f>B4+C4</f>
        <v/>
      </c>
      <c r="F4" s="138">
        <f>D4-E4</f>
        <v/>
      </c>
      <c r="G4" s="140" t="n">
        <v>15486</v>
      </c>
      <c r="H4" s="139">
        <f>E4+C4</f>
        <v/>
      </c>
      <c r="I4" s="138">
        <f>G4-H4</f>
        <v/>
      </c>
      <c r="J4" s="140" t="n">
        <v>17385</v>
      </c>
      <c r="K4" s="139">
        <f>H4+C4</f>
        <v/>
      </c>
      <c r="L4" s="138">
        <f>J4-K4</f>
        <v/>
      </c>
      <c r="M4" s="140" t="n"/>
      <c r="N4" s="139">
        <f>K4+C4</f>
        <v/>
      </c>
      <c r="O4" s="138">
        <f>M4-N4</f>
        <v/>
      </c>
      <c r="P4" s="112" t="n"/>
      <c r="Q4" s="139">
        <f>C4+N4</f>
        <v/>
      </c>
      <c r="R4" s="138">
        <f>P4-Q4</f>
        <v/>
      </c>
      <c r="S4" s="112" t="n"/>
      <c r="T4" s="139">
        <f>C4+Q4</f>
        <v/>
      </c>
      <c r="U4" s="138">
        <f>S4-T4</f>
        <v/>
      </c>
      <c r="V4" s="112" t="n"/>
      <c r="W4" s="139">
        <f>C4+T4</f>
        <v/>
      </c>
      <c r="X4" s="138">
        <f>V4-W4</f>
        <v/>
      </c>
      <c r="Y4" s="140" t="n"/>
      <c r="Z4" s="139">
        <f>C4+W4</f>
        <v/>
      </c>
      <c r="AA4" s="138">
        <f>Y4-Z4</f>
        <v/>
      </c>
      <c r="AB4" s="112" t="n"/>
      <c r="AC4" s="139">
        <f>C4+Z4</f>
        <v/>
      </c>
      <c r="AD4" s="138">
        <f>AB4-AC4</f>
        <v/>
      </c>
      <c r="AE4" s="112" t="n"/>
      <c r="AF4" s="139">
        <f>C4+AC4</f>
        <v/>
      </c>
      <c r="AG4" s="138">
        <f>AE4-AF4</f>
        <v/>
      </c>
      <c r="AH4" s="112" t="n"/>
      <c r="AI4" s="139">
        <f>C4+AF4</f>
        <v/>
      </c>
      <c r="AJ4" s="138">
        <f>AH4-AI4</f>
        <v/>
      </c>
      <c r="AK4" s="112" t="n"/>
      <c r="AL4" s="141">
        <f>C4+AI4</f>
        <v/>
      </c>
      <c r="AM4" s="142">
        <f>AK4-AL4</f>
        <v/>
      </c>
    </row>
    <row r="5">
      <c r="A5" s="105" t="inlineStr">
        <is>
          <t>LinkedIn</t>
        </is>
      </c>
      <c r="B5" s="140" t="n">
        <v>21760</v>
      </c>
      <c r="C5" s="143" t="n">
        <v>375</v>
      </c>
      <c r="D5" s="136" t="n">
        <v>22156</v>
      </c>
      <c r="E5" s="137">
        <f>B5+C5</f>
        <v/>
      </c>
      <c r="F5" s="138">
        <f>D5-E5</f>
        <v/>
      </c>
      <c r="G5" s="140" t="n">
        <v>22435</v>
      </c>
      <c r="H5" s="139">
        <f>E5+C5</f>
        <v/>
      </c>
      <c r="I5" s="138">
        <f>G5-H5</f>
        <v/>
      </c>
      <c r="J5" s="140" t="n">
        <v>23323</v>
      </c>
      <c r="K5" s="139">
        <f>H5+C5</f>
        <v/>
      </c>
      <c r="L5" s="138">
        <f>J5-K5</f>
        <v/>
      </c>
      <c r="M5" s="140" t="n"/>
      <c r="N5" s="139">
        <f>K5+C5</f>
        <v/>
      </c>
      <c r="O5" s="138">
        <f>M5-N5</f>
        <v/>
      </c>
      <c r="P5" s="112" t="n"/>
      <c r="Q5" s="139">
        <f>C5+N5</f>
        <v/>
      </c>
      <c r="R5" s="138">
        <f>P5-Q5</f>
        <v/>
      </c>
      <c r="S5" s="112" t="n"/>
      <c r="T5" s="139">
        <f>C5+Q5</f>
        <v/>
      </c>
      <c r="U5" s="138">
        <f>S5-T5</f>
        <v/>
      </c>
      <c r="V5" s="112" t="n"/>
      <c r="W5" s="139">
        <f>C5+T5</f>
        <v/>
      </c>
      <c r="X5" s="138">
        <f>V5-W5</f>
        <v/>
      </c>
      <c r="Y5" s="140" t="n"/>
      <c r="Z5" s="139">
        <f>C5+W5</f>
        <v/>
      </c>
      <c r="AA5" s="138">
        <f>Y5-Z5</f>
        <v/>
      </c>
      <c r="AB5" s="112" t="n"/>
      <c r="AC5" s="139">
        <f>C5+Z5</f>
        <v/>
      </c>
      <c r="AD5" s="138">
        <f>AB5-AC5</f>
        <v/>
      </c>
      <c r="AE5" s="112" t="n"/>
      <c r="AF5" s="139">
        <f>C5+AC5</f>
        <v/>
      </c>
      <c r="AG5" s="138">
        <f>AE5-AF5</f>
        <v/>
      </c>
      <c r="AH5" s="112" t="n"/>
      <c r="AI5" s="139">
        <f>C5+AF5</f>
        <v/>
      </c>
      <c r="AJ5" s="138">
        <f>AH5-AI5</f>
        <v/>
      </c>
      <c r="AK5" s="112" t="n"/>
      <c r="AL5" s="141">
        <f>C5+AI5</f>
        <v/>
      </c>
      <c r="AM5" s="142">
        <f>AK5-AL5</f>
        <v/>
      </c>
    </row>
    <row r="6">
      <c r="A6" s="105" t="inlineStr">
        <is>
          <t>TikTok</t>
        </is>
      </c>
      <c r="B6" s="140" t="n">
        <v>3089</v>
      </c>
      <c r="C6" s="143" t="n">
        <v>250</v>
      </c>
      <c r="D6" s="136" t="n">
        <v>3362</v>
      </c>
      <c r="E6" s="137">
        <f>B6+C6</f>
        <v/>
      </c>
      <c r="F6" s="138">
        <f>D6-E6</f>
        <v/>
      </c>
      <c r="G6" s="140" t="n">
        <v>3412</v>
      </c>
      <c r="H6" s="139">
        <f>E6+C6</f>
        <v/>
      </c>
      <c r="I6" s="138">
        <f>G6-H6</f>
        <v/>
      </c>
      <c r="J6" s="140" t="n">
        <v>3936</v>
      </c>
      <c r="K6" s="139">
        <f>H6+C6</f>
        <v/>
      </c>
      <c r="L6" s="138">
        <f>J6-K6</f>
        <v/>
      </c>
      <c r="M6" s="140" t="n"/>
      <c r="N6" s="139">
        <f>K6+C6</f>
        <v/>
      </c>
      <c r="O6" s="138">
        <f>M6-N6</f>
        <v/>
      </c>
      <c r="P6" s="112" t="n"/>
      <c r="Q6" s="139">
        <f>C6+N6</f>
        <v/>
      </c>
      <c r="R6" s="138">
        <f>P6-Q6</f>
        <v/>
      </c>
      <c r="S6" s="112" t="n"/>
      <c r="T6" s="139">
        <f>C6+Q6</f>
        <v/>
      </c>
      <c r="U6" s="138">
        <f>S6-T6</f>
        <v/>
      </c>
      <c r="V6" s="112" t="n"/>
      <c r="W6" s="139">
        <f>C6+T6</f>
        <v/>
      </c>
      <c r="X6" s="138">
        <f>V6-W6</f>
        <v/>
      </c>
      <c r="Y6" s="140" t="n"/>
      <c r="Z6" s="139">
        <f>C6+W6</f>
        <v/>
      </c>
      <c r="AA6" s="138">
        <f>Y6-Z6</f>
        <v/>
      </c>
      <c r="AB6" s="112" t="n"/>
      <c r="AC6" s="139">
        <f>C6+Z6</f>
        <v/>
      </c>
      <c r="AD6" s="138">
        <f>AB6-AC6</f>
        <v/>
      </c>
      <c r="AE6" s="112" t="n"/>
      <c r="AF6" s="139">
        <f>C6+AC6</f>
        <v/>
      </c>
      <c r="AG6" s="138">
        <f>AE6-AF6</f>
        <v/>
      </c>
      <c r="AH6" s="112" t="n"/>
      <c r="AI6" s="139">
        <f>C6+AF6</f>
        <v/>
      </c>
      <c r="AJ6" s="138">
        <f>AH6-AI6</f>
        <v/>
      </c>
      <c r="AK6" s="112" t="n"/>
      <c r="AL6" s="141">
        <f>C6+AI6</f>
        <v/>
      </c>
      <c r="AM6" s="142">
        <f>AK6-AL6</f>
        <v/>
      </c>
    </row>
    <row r="9">
      <c r="B9" s="100" t="inlineStr">
        <is>
          <t>ACTUAL ENERO 2025</t>
        </is>
      </c>
      <c r="D9" s="100" t="inlineStr">
        <is>
          <t>META FINAL DE AÑO</t>
        </is>
      </c>
    </row>
    <row r="10">
      <c r="A10" s="105" t="inlineStr">
        <is>
          <t>Facebook</t>
        </is>
      </c>
      <c r="B10" s="140" t="n">
        <v>135044</v>
      </c>
      <c r="C10" s="146" t="inlineStr">
        <is>
          <t>Facebook | 3,780</t>
        </is>
      </c>
      <c r="D10" s="105" t="inlineStr">
        <is>
          <t>Facebook</t>
        </is>
      </c>
      <c r="E10" s="141" t="n">
        <v>138824</v>
      </c>
      <c r="F10" s="145">
        <f>B10+3780</f>
        <v/>
      </c>
    </row>
    <row r="11">
      <c r="A11" s="105" t="inlineStr">
        <is>
          <t>Twitter / X</t>
        </is>
      </c>
      <c r="B11" s="140" t="n">
        <v>145071</v>
      </c>
      <c r="C11" s="146" t="inlineStr">
        <is>
          <t>Twitter / X | 1800</t>
        </is>
      </c>
      <c r="D11" s="105" t="inlineStr">
        <is>
          <t>Twitter / X</t>
        </is>
      </c>
      <c r="E11" s="141" t="n">
        <v>146871</v>
      </c>
    </row>
    <row r="12">
      <c r="A12" s="105" t="inlineStr">
        <is>
          <t>Instagram</t>
        </is>
      </c>
      <c r="B12" s="140" t="n">
        <v>14409</v>
      </c>
      <c r="C12" s="146" t="inlineStr">
        <is>
          <t>Instagram | 6,120</t>
        </is>
      </c>
      <c r="D12" s="105" t="inlineStr">
        <is>
          <t>Instagram</t>
        </is>
      </c>
      <c r="E12" s="141" t="n">
        <v>20529</v>
      </c>
    </row>
    <row r="13">
      <c r="A13" s="105" t="inlineStr">
        <is>
          <t>LinkedIn</t>
        </is>
      </c>
      <c r="B13" s="140" t="n">
        <v>21760</v>
      </c>
      <c r="C13" s="146" t="inlineStr">
        <is>
          <t>LinkedIn | 4,500</t>
        </is>
      </c>
      <c r="D13" s="105" t="inlineStr">
        <is>
          <t>LinkedIn</t>
        </is>
      </c>
      <c r="E13" s="141" t="n">
        <v>26260</v>
      </c>
    </row>
    <row r="14">
      <c r="A14" s="105" t="inlineStr">
        <is>
          <t>TikTok</t>
        </is>
      </c>
      <c r="B14" s="140" t="n">
        <v>3089</v>
      </c>
      <c r="C14" s="146" t="inlineStr">
        <is>
          <t>TikTok |3,000</t>
        </is>
      </c>
      <c r="D14" s="105" t="inlineStr">
        <is>
          <t>TikTok</t>
        </is>
      </c>
      <c r="E14" s="141" t="n">
        <v>6089</v>
      </c>
    </row>
    <row r="15">
      <c r="A15" s="105" t="inlineStr">
        <is>
          <t>Facebook</t>
        </is>
      </c>
      <c r="B15" s="139" t="n">
        <v>135359</v>
      </c>
      <c r="C15" s="146" t="inlineStr">
        <is>
          <t>Youtube | 6,000</t>
        </is>
      </c>
    </row>
    <row r="16">
      <c r="A16" s="105" t="inlineStr">
        <is>
          <t>Twitter / X</t>
        </is>
      </c>
      <c r="B16" s="139" t="n">
        <v>145221</v>
      </c>
      <c r="C16" s="146" t="n"/>
    </row>
    <row r="17">
      <c r="A17" s="105" t="inlineStr">
        <is>
          <t>Instagram</t>
        </is>
      </c>
      <c r="B17" s="139" t="n">
        <v>14919</v>
      </c>
    </row>
    <row r="18">
      <c r="A18" s="105" t="inlineStr">
        <is>
          <t>LinkedIn</t>
        </is>
      </c>
      <c r="B18" s="139" t="n">
        <v>22135</v>
      </c>
    </row>
    <row r="19">
      <c r="A19" s="105" t="inlineStr">
        <is>
          <t>TikTok</t>
        </is>
      </c>
      <c r="B19" s="139" t="n">
        <v>3339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A22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10.38" customWidth="1" style="162" min="1" max="1"/>
    <col width="20.88" customWidth="1" style="162" min="2" max="2"/>
  </cols>
  <sheetData>
    <row r="1">
      <c r="A1" s="101" t="inlineStr">
        <is>
          <t>Red social</t>
        </is>
      </c>
      <c r="B1" s="102" t="inlineStr">
        <is>
          <t>Meta de alcance mensual</t>
        </is>
      </c>
      <c r="C1" s="101" t="inlineStr">
        <is>
          <t>Ene</t>
        </is>
      </c>
      <c r="D1" s="101" t="inlineStr">
        <is>
          <t>Ene-2025</t>
        </is>
      </c>
      <c r="E1" s="101" t="inlineStr">
        <is>
          <t>Feb</t>
        </is>
      </c>
      <c r="F1" s="147" t="n">
        <v>45689</v>
      </c>
      <c r="G1" s="101" t="inlineStr">
        <is>
          <t>Mar</t>
        </is>
      </c>
      <c r="H1" s="147" t="n">
        <v>45717</v>
      </c>
      <c r="I1" s="101" t="inlineStr">
        <is>
          <t>Abr</t>
        </is>
      </c>
      <c r="J1" s="101" t="inlineStr">
        <is>
          <t>Abr-2025</t>
        </is>
      </c>
      <c r="K1" s="101" t="inlineStr">
        <is>
          <t>May</t>
        </is>
      </c>
      <c r="L1" s="148" t="n">
        <v>45778</v>
      </c>
      <c r="M1" s="101" t="inlineStr">
        <is>
          <t>Jun</t>
        </is>
      </c>
      <c r="N1" s="147" t="n">
        <v>45809</v>
      </c>
      <c r="O1" s="101" t="inlineStr">
        <is>
          <t>Jul</t>
        </is>
      </c>
      <c r="P1" s="147" t="n">
        <v>45839</v>
      </c>
      <c r="Q1" s="101" t="inlineStr">
        <is>
          <t>Ago</t>
        </is>
      </c>
      <c r="R1" s="101" t="inlineStr">
        <is>
          <t>Ago-2025</t>
        </is>
      </c>
      <c r="S1" s="101" t="inlineStr">
        <is>
          <t>Sep</t>
        </is>
      </c>
      <c r="T1" s="147" t="n">
        <v>45901</v>
      </c>
      <c r="U1" s="101" t="inlineStr">
        <is>
          <t>Oct</t>
        </is>
      </c>
      <c r="V1" s="147" t="n">
        <v>45931</v>
      </c>
      <c r="W1" s="101" t="inlineStr">
        <is>
          <t>Nov</t>
        </is>
      </c>
      <c r="X1" s="147" t="n">
        <v>45962</v>
      </c>
      <c r="Y1" s="101" t="inlineStr">
        <is>
          <t>Dic</t>
        </is>
      </c>
      <c r="Z1" s="101" t="inlineStr">
        <is>
          <t>Dic-2025</t>
        </is>
      </c>
    </row>
    <row r="2">
      <c r="A2" s="105" t="inlineStr">
        <is>
          <t>Facebook</t>
        </is>
      </c>
      <c r="B2" s="149" t="n">
        <v>350000</v>
      </c>
      <c r="C2" s="150" t="n">
        <v>591045</v>
      </c>
      <c r="D2" s="151" t="n">
        <v>31407</v>
      </c>
      <c r="E2" s="150" t="n">
        <v>449232</v>
      </c>
      <c r="F2" s="154" t="n">
        <v>40839</v>
      </c>
      <c r="G2" s="150" t="n">
        <v>1072767</v>
      </c>
      <c r="H2" s="154" t="n">
        <v>46793</v>
      </c>
      <c r="I2" s="153" t="n"/>
      <c r="J2" s="154" t="n">
        <v>33295</v>
      </c>
      <c r="K2" s="153" t="n"/>
      <c r="L2" s="154" t="n">
        <v>65351</v>
      </c>
      <c r="M2" s="153" t="n"/>
      <c r="N2" s="154" t="n">
        <v>96098</v>
      </c>
      <c r="O2" s="153" t="n"/>
      <c r="P2" s="154" t="n">
        <v>95360</v>
      </c>
      <c r="Q2" s="153" t="n"/>
      <c r="R2" s="154" t="n">
        <v>398261</v>
      </c>
      <c r="S2" s="153" t="n"/>
      <c r="T2" s="158" t="n">
        <v>339404</v>
      </c>
      <c r="U2" s="153" t="n"/>
      <c r="V2" s="158" t="n">
        <v>296771</v>
      </c>
      <c r="W2" s="153" t="n"/>
      <c r="X2" s="156" t="n">
        <v>638079</v>
      </c>
      <c r="Y2" s="153" t="n"/>
      <c r="Z2" s="156" t="n">
        <v>381040</v>
      </c>
      <c r="AA2" s="145">
        <f>sum(D2,F2,H2,J2,L2,N2,P2,R2,T2,V2,X2,Z2)</f>
        <v/>
      </c>
    </row>
    <row r="3">
      <c r="A3" s="105" t="inlineStr">
        <is>
          <t>Twitter / X</t>
        </is>
      </c>
      <c r="B3" s="149" t="n">
        <v>350000</v>
      </c>
      <c r="C3" s="150" t="n">
        <v>333491</v>
      </c>
      <c r="D3" s="157" t="n">
        <v>410335</v>
      </c>
      <c r="E3" s="150" t="n">
        <v>198556</v>
      </c>
      <c r="F3" s="158" t="n">
        <v>301987</v>
      </c>
      <c r="G3" s="150" t="n">
        <v>493938</v>
      </c>
      <c r="H3" s="158" t="n">
        <v>403353</v>
      </c>
      <c r="I3" s="153" t="n"/>
      <c r="J3" s="158" t="n">
        <v>257417</v>
      </c>
      <c r="K3" s="153" t="n"/>
      <c r="L3" s="158" t="n">
        <v>206040</v>
      </c>
      <c r="M3" s="153" t="n"/>
      <c r="N3" s="158" t="n">
        <v>171385</v>
      </c>
      <c r="O3" s="153" t="n"/>
      <c r="P3" s="158" t="n">
        <v>225298</v>
      </c>
      <c r="Q3" s="153" t="n"/>
      <c r="R3" s="158" t="n">
        <v>235204</v>
      </c>
      <c r="S3" s="153" t="n"/>
      <c r="T3" s="15" t="n">
        <v>210413</v>
      </c>
      <c r="U3" s="153" t="n"/>
      <c r="V3" s="15" t="n">
        <v>213523</v>
      </c>
      <c r="W3" s="153" t="n"/>
      <c r="X3" s="15" t="n">
        <v>395282</v>
      </c>
      <c r="Y3" s="153" t="n"/>
      <c r="Z3" s="15" t="n">
        <v>181141</v>
      </c>
      <c r="AA3" s="145">
        <f>sum(D3,F3,H3,J3,L3,N3,P3,R3,T3,V3,X3,Z3)</f>
        <v/>
      </c>
    </row>
    <row r="4">
      <c r="A4" s="105" t="inlineStr">
        <is>
          <t>Instagram</t>
        </is>
      </c>
      <c r="B4" s="149" t="n">
        <v>150000</v>
      </c>
      <c r="C4" s="150" t="n">
        <v>122452</v>
      </c>
      <c r="D4" s="157" t="n">
        <v>63926</v>
      </c>
      <c r="E4" s="150" t="n">
        <v>167904</v>
      </c>
      <c r="F4" s="158" t="n">
        <v>62808</v>
      </c>
      <c r="G4" s="150" t="n">
        <v>864800</v>
      </c>
      <c r="H4" s="158" t="n">
        <v>63624</v>
      </c>
      <c r="I4" s="153" t="n"/>
      <c r="J4" s="158" t="n">
        <v>14221</v>
      </c>
      <c r="K4" s="153" t="n"/>
      <c r="L4" s="158" t="n">
        <v>19804</v>
      </c>
      <c r="M4" s="153" t="n"/>
      <c r="N4" s="158" t="n">
        <v>30433</v>
      </c>
      <c r="O4" s="153" t="n"/>
      <c r="P4" s="158" t="n">
        <v>22840</v>
      </c>
      <c r="Q4" s="153" t="n"/>
      <c r="R4" s="158" t="n">
        <v>50961</v>
      </c>
      <c r="S4" s="153" t="n"/>
      <c r="T4" s="145" t="n">
        <v>105352</v>
      </c>
      <c r="U4" s="153" t="n"/>
      <c r="V4" s="145" t="n">
        <v>129380</v>
      </c>
      <c r="W4" s="153" t="n"/>
      <c r="X4" s="156" t="n">
        <v>252115</v>
      </c>
      <c r="Y4" s="153" t="n"/>
      <c r="Z4" s="156" t="n">
        <v>329056</v>
      </c>
      <c r="AA4" s="145">
        <f>sum(D4,F4,H4,J4,L4,N4,P4,R4,T4,V4,X4,Z4)</f>
        <v/>
      </c>
    </row>
    <row r="5">
      <c r="A5" s="105" t="inlineStr">
        <is>
          <t>LinkedIn</t>
        </is>
      </c>
      <c r="B5" s="149" t="n">
        <v>85000</v>
      </c>
      <c r="C5" s="150" t="n">
        <v>93679</v>
      </c>
      <c r="D5" s="157" t="n">
        <v>58747</v>
      </c>
      <c r="E5" s="150" t="n">
        <v>88915</v>
      </c>
      <c r="F5" s="158" t="n">
        <v>50763</v>
      </c>
      <c r="G5" s="150" t="n">
        <v>158365</v>
      </c>
      <c r="H5" s="158" t="n">
        <v>73705</v>
      </c>
      <c r="I5" s="153" t="n"/>
      <c r="J5" s="158" t="n">
        <v>40965</v>
      </c>
      <c r="K5" s="153" t="n"/>
      <c r="L5" s="158" t="n">
        <v>33762</v>
      </c>
      <c r="M5" s="153" t="n"/>
      <c r="N5" s="158" t="n">
        <v>57640</v>
      </c>
      <c r="O5" s="153" t="n"/>
      <c r="P5" s="158" t="n">
        <v>56713</v>
      </c>
      <c r="Q5" s="153" t="n"/>
      <c r="R5" s="158" t="n">
        <v>73565</v>
      </c>
      <c r="S5" s="153" t="n"/>
      <c r="T5" s="145" t="n">
        <v>75824</v>
      </c>
      <c r="U5" s="153" t="n"/>
      <c r="V5" s="158" t="n">
        <v>101416</v>
      </c>
      <c r="W5" s="153" t="n"/>
      <c r="X5" s="156" t="n">
        <v>103257</v>
      </c>
      <c r="Y5" s="153" t="n"/>
      <c r="Z5" s="156" t="n">
        <v>62206</v>
      </c>
      <c r="AA5" s="145">
        <f>sum(D5,F5,H5,J5,L5,N5,P5,R5,T5,V5,X5,Z5)</f>
        <v/>
      </c>
    </row>
    <row r="6">
      <c r="A6" s="105" t="inlineStr">
        <is>
          <t>TikTok</t>
        </is>
      </c>
      <c r="B6" s="149" t="n">
        <v>45000</v>
      </c>
      <c r="C6" s="150" t="n">
        <v>26093</v>
      </c>
      <c r="D6" s="157" t="n">
        <v>12502</v>
      </c>
      <c r="E6" s="150" t="n">
        <v>27600</v>
      </c>
      <c r="F6" s="158" t="n">
        <v>17871</v>
      </c>
      <c r="G6" s="150" t="n">
        <v>133173</v>
      </c>
      <c r="H6" s="158" t="n">
        <v>98953</v>
      </c>
      <c r="I6" s="153" t="n"/>
      <c r="J6" s="158" t="n">
        <v>21284</v>
      </c>
      <c r="K6" s="153" t="n"/>
      <c r="L6" s="158" t="n">
        <v>14300</v>
      </c>
      <c r="M6" s="153" t="n"/>
      <c r="N6" s="159" t="n">
        <v>25048</v>
      </c>
      <c r="O6" s="153" t="n"/>
      <c r="P6" s="158" t="n">
        <v>14467</v>
      </c>
      <c r="Q6" s="153" t="n"/>
      <c r="R6" s="158" t="n">
        <v>19427</v>
      </c>
      <c r="S6" s="153" t="n"/>
      <c r="T6" s="145" t="n">
        <v>15705</v>
      </c>
      <c r="U6" s="153" t="n"/>
      <c r="V6" s="145" t="n">
        <v>24666</v>
      </c>
      <c r="W6" s="153" t="n"/>
      <c r="X6" s="160" t="n">
        <v>27011</v>
      </c>
      <c r="Y6" s="153" t="n"/>
      <c r="Z6" s="160" t="n">
        <v>47987</v>
      </c>
      <c r="AA6" s="145">
        <f>sum(D6,F6,H6,J6,L6,N6,P6,R6,T6,V6,X6,Z6)</f>
        <v/>
      </c>
    </row>
    <row r="9">
      <c r="B9" s="161" t="inlineStr">
        <is>
          <t>Promedio 2025</t>
        </is>
      </c>
    </row>
    <row r="10">
      <c r="A10" s="105" t="inlineStr">
        <is>
          <t>Facebook</t>
        </is>
      </c>
      <c r="B10" s="145">
        <f>AVERAGE(D2,F2,H2,J2,L2,N2,P2,R2,T2,V2,X2,Z2)</f>
        <v/>
      </c>
    </row>
    <row r="11">
      <c r="A11" s="105" t="inlineStr">
        <is>
          <t>Twitter / X</t>
        </is>
      </c>
      <c r="B11" s="145">
        <f>AVERAGE(D3,F3,H3,J3,L3,N3,P3,R3,T3,V3,X3,Z3)</f>
        <v/>
      </c>
    </row>
    <row r="12">
      <c r="A12" s="105" t="inlineStr">
        <is>
          <t>Instagram</t>
        </is>
      </c>
      <c r="B12" s="145">
        <f>AVERAGE(D4,F4,H4,J4,L4,N4,P4,R4,T4,V4,X4,Z4)</f>
        <v/>
      </c>
    </row>
    <row r="13">
      <c r="A13" s="105" t="inlineStr">
        <is>
          <t>LinkedIn</t>
        </is>
      </c>
      <c r="B13" s="145">
        <f>AVERAGE(D5,F5,H5,J5,L5,N5,P5,R5,T5,V5,X5,Z5)</f>
        <v/>
      </c>
    </row>
    <row r="14">
      <c r="A14" s="105" t="inlineStr">
        <is>
          <t>TikTok</t>
        </is>
      </c>
      <c r="B14" s="145">
        <f>AVERAGE(D6,F6,H6,J6,L6,N6,P6,R6,T6,V6,X6,Z6)</f>
        <v/>
      </c>
    </row>
    <row r="15">
      <c r="A15" s="100" t="inlineStr">
        <is>
          <t>Youtube</t>
        </is>
      </c>
    </row>
    <row r="17">
      <c r="A17" s="101" t="inlineStr">
        <is>
          <t>Red social</t>
        </is>
      </c>
      <c r="B17" s="101" t="inlineStr">
        <is>
          <t>Meta 2026</t>
        </is>
      </c>
    </row>
    <row r="18">
      <c r="A18" s="105" t="inlineStr">
        <is>
          <t>Facebook</t>
        </is>
      </c>
      <c r="B18" s="145" t="n">
        <v>3000000</v>
      </c>
    </row>
    <row r="19">
      <c r="A19" s="105" t="inlineStr">
        <is>
          <t>Twitter / X</t>
        </is>
      </c>
      <c r="B19" s="145" t="n">
        <v>3840000</v>
      </c>
    </row>
    <row r="20">
      <c r="A20" s="105" t="inlineStr">
        <is>
          <t>Instagram</t>
        </is>
      </c>
      <c r="B20" s="145" t="n">
        <v>2160000</v>
      </c>
    </row>
    <row r="21">
      <c r="A21" s="105" t="inlineStr">
        <is>
          <t>LinkedIn</t>
        </is>
      </c>
      <c r="B21" s="145" t="n">
        <v>1020000</v>
      </c>
    </row>
    <row r="22">
      <c r="A22" s="105" t="inlineStr">
        <is>
          <t>TikTok</t>
        </is>
      </c>
      <c r="B22" s="145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2026-05-12T03:49:44Z</dcterms:created>
  <dcterms:modified xmlns:dcterms="http://purl.org/dc/terms/" xmlns:xsi="http://www.w3.org/2001/XMLSchema-instance" xsi:type="dcterms:W3CDTF">2026-05-12T03:49:45Z</dcterms:modified>
</cp:coreProperties>
</file>